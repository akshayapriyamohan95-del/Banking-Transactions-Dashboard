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dfb718e185dee9/Desktop/DA project ideas/Banking-Transaction-Dashboard-Excel/"/>
    </mc:Choice>
  </mc:AlternateContent>
  <xr:revisionPtr revIDLastSave="572" documentId="8_{37EAA669-C4A6-4966-A0BD-1DD4C8A17254}" xr6:coauthVersionLast="47" xr6:coauthVersionMax="47" xr10:uidLastSave="{A85C2D13-5217-4FDE-9E78-72948278A91D}"/>
  <bookViews>
    <workbookView xWindow="-108" yWindow="-108" windowWidth="23256" windowHeight="13896" xr2:uid="{A159ED59-F1CF-4C54-B7F3-BFF55053F6FF}"/>
  </bookViews>
  <sheets>
    <sheet name="Dashboard" sheetId="5" r:id="rId1"/>
    <sheet name="Raw_Data" sheetId="1" r:id="rId2"/>
    <sheet name="Pivot table " sheetId="2" r:id="rId3"/>
  </sheet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5" l="1"/>
  <c r="H5" i="5"/>
  <c r="D5" i="5"/>
  <c r="A5" i="5"/>
</calcChain>
</file>

<file path=xl/sharedStrings.xml><?xml version="1.0" encoding="utf-8"?>
<sst xmlns="http://schemas.openxmlformats.org/spreadsheetml/2006/main" count="3679" uniqueCount="507">
  <si>
    <t>Transaction ID</t>
  </si>
  <si>
    <t>Date</t>
  </si>
  <si>
    <t>Customer ID</t>
  </si>
  <si>
    <t>Customer Name</t>
  </si>
  <si>
    <t>Account Type</t>
  </si>
  <si>
    <t>Branch</t>
  </si>
  <si>
    <t>Transaction Type</t>
  </si>
  <si>
    <t>Category</t>
  </si>
  <si>
    <t>Channel</t>
  </si>
  <si>
    <t>Amount (INR)</t>
  </si>
  <si>
    <t>Credit/Debit</t>
  </si>
  <si>
    <t>Status</t>
  </si>
  <si>
    <t>Month</t>
  </si>
  <si>
    <t>Weekday</t>
  </si>
  <si>
    <t>TXN10001</t>
  </si>
  <si>
    <t>C1032</t>
  </si>
  <si>
    <t>Rahul Singh</t>
  </si>
  <si>
    <t>Salary</t>
  </si>
  <si>
    <t>Pune</t>
  </si>
  <si>
    <t>Loan EMI</t>
  </si>
  <si>
    <t>Home Loan</t>
  </si>
  <si>
    <t>Net Banking</t>
  </si>
  <si>
    <t>Debit</t>
  </si>
  <si>
    <t>Success</t>
  </si>
  <si>
    <t>Jan</t>
  </si>
  <si>
    <t>Sun</t>
  </si>
  <si>
    <t>TXN10002</t>
  </si>
  <si>
    <t>C1055</t>
  </si>
  <si>
    <t>Pooja Iyer</t>
  </si>
  <si>
    <t>Savings</t>
  </si>
  <si>
    <t>Ahmedabad</t>
  </si>
  <si>
    <t>Transfer</t>
  </si>
  <si>
    <t>Business Payment</t>
  </si>
  <si>
    <t>Mobile Banking</t>
  </si>
  <si>
    <t>Failed</t>
  </si>
  <si>
    <t>Wed</t>
  </si>
  <si>
    <t>TXN10003</t>
  </si>
  <si>
    <t>C1006</t>
  </si>
  <si>
    <t>Vikram Das</t>
  </si>
  <si>
    <t>Card Payment</t>
  </si>
  <si>
    <t>Shopping</t>
  </si>
  <si>
    <t>POS</t>
  </si>
  <si>
    <t>Thu</t>
  </si>
  <si>
    <t>TXN10004</t>
  </si>
  <si>
    <t>C1036</t>
  </si>
  <si>
    <t>Divya Menon</t>
  </si>
  <si>
    <t>Chennai</t>
  </si>
  <si>
    <t>TXN10005</t>
  </si>
  <si>
    <t>C1023</t>
  </si>
  <si>
    <t>Rohit Singh</t>
  </si>
  <si>
    <t>Hyderabad</t>
  </si>
  <si>
    <t>Fri</t>
  </si>
  <si>
    <t>TXN10006</t>
  </si>
  <si>
    <t>C1040</t>
  </si>
  <si>
    <t>Rohit Menon</t>
  </si>
  <si>
    <t>Deposit</t>
  </si>
  <si>
    <t>Interest Credit</t>
  </si>
  <si>
    <t>Credit</t>
  </si>
  <si>
    <t>TXN10007</t>
  </si>
  <si>
    <t>C1025</t>
  </si>
  <si>
    <t>Imran Menon</t>
  </si>
  <si>
    <t>Dining</t>
  </si>
  <si>
    <t>Pending</t>
  </si>
  <si>
    <t>TXN10008</t>
  </si>
  <si>
    <t>C1020</t>
  </si>
  <si>
    <t>Nisha Reddy</t>
  </si>
  <si>
    <t>Current</t>
  </si>
  <si>
    <t>Delhi</t>
  </si>
  <si>
    <t>Rent</t>
  </si>
  <si>
    <t>UPI</t>
  </si>
  <si>
    <t>Mon</t>
  </si>
  <si>
    <t>TXN10009</t>
  </si>
  <si>
    <t>Bill Payment</t>
  </si>
  <si>
    <t>Insurance Premium</t>
  </si>
  <si>
    <t>TXN10010</t>
  </si>
  <si>
    <t>C1039</t>
  </si>
  <si>
    <t>Kavya Iyer</t>
  </si>
  <si>
    <t>TXN10011</t>
  </si>
  <si>
    <t>TXN10012</t>
  </si>
  <si>
    <t>C1021</t>
  </si>
  <si>
    <t>Manoj Patel</t>
  </si>
  <si>
    <t>Bengaluru</t>
  </si>
  <si>
    <t>TXN10013</t>
  </si>
  <si>
    <t>C1010</t>
  </si>
  <si>
    <t>Sneha Sharma</t>
  </si>
  <si>
    <t>Groceries</t>
  </si>
  <si>
    <t>TXN10014</t>
  </si>
  <si>
    <t>C1052</t>
  </si>
  <si>
    <t>Rahul Kumar</t>
  </si>
  <si>
    <t>Electricity</t>
  </si>
  <si>
    <t>Sat</t>
  </si>
  <si>
    <t>TXN10015</t>
  </si>
  <si>
    <t>TXN10016</t>
  </si>
  <si>
    <t>C1019</t>
  </si>
  <si>
    <t>Suresh Sharma</t>
  </si>
  <si>
    <t>Withdrawal</t>
  </si>
  <si>
    <t>Cash Withdrawal</t>
  </si>
  <si>
    <t>ATM</t>
  </si>
  <si>
    <t>TXN10017</t>
  </si>
  <si>
    <t>C1054</t>
  </si>
  <si>
    <t>Anjali Patel</t>
  </si>
  <si>
    <t>Investment</t>
  </si>
  <si>
    <t>TXN10018</t>
  </si>
  <si>
    <t>Travel</t>
  </si>
  <si>
    <t>Tue</t>
  </si>
  <si>
    <t>TXN10019</t>
  </si>
  <si>
    <t>C1001</t>
  </si>
  <si>
    <t>Imran Sharma</t>
  </si>
  <si>
    <t>TXN10020</t>
  </si>
  <si>
    <t>C1049</t>
  </si>
  <si>
    <t>Ganesh Sharma</t>
  </si>
  <si>
    <t>Personal Loan</t>
  </si>
  <si>
    <t>TXN10021</t>
  </si>
  <si>
    <t>C1016</t>
  </si>
  <si>
    <t>Rahul Reddy</t>
  </si>
  <si>
    <t>Mumbai</t>
  </si>
  <si>
    <t>TXN10022</t>
  </si>
  <si>
    <t>C1056</t>
  </si>
  <si>
    <t>Lakshmi Singh</t>
  </si>
  <si>
    <t>TXN10023</t>
  </si>
  <si>
    <t>TXN10024</t>
  </si>
  <si>
    <t>C1053</t>
  </si>
  <si>
    <t>Priya Nair</t>
  </si>
  <si>
    <t>Fuel</t>
  </si>
  <si>
    <t>TXN10025</t>
  </si>
  <si>
    <t>TXN10026</t>
  </si>
  <si>
    <t>C1047</t>
  </si>
  <si>
    <t>Pooja Reddy</t>
  </si>
  <si>
    <t>TXN10027</t>
  </si>
  <si>
    <t>C1004</t>
  </si>
  <si>
    <t>Neha Kumar</t>
  </si>
  <si>
    <t>TXN10028</t>
  </si>
  <si>
    <t>TXN10029</t>
  </si>
  <si>
    <t>C1003</t>
  </si>
  <si>
    <t>Nisha Sharma</t>
  </si>
  <si>
    <t>TXN10030</t>
  </si>
  <si>
    <t>TXN10031</t>
  </si>
  <si>
    <t>C1014</t>
  </si>
  <si>
    <t>Swathi Nair</t>
  </si>
  <si>
    <t>TXN10032</t>
  </si>
  <si>
    <t>C1026</t>
  </si>
  <si>
    <t>Ganesh Iyer</t>
  </si>
  <si>
    <t>TXN10033</t>
  </si>
  <si>
    <t>TXN10034</t>
  </si>
  <si>
    <t>Family Transfer</t>
  </si>
  <si>
    <t>TXN10035</t>
  </si>
  <si>
    <t>C1011</t>
  </si>
  <si>
    <t>Kavya Nair</t>
  </si>
  <si>
    <t>TXN10036</t>
  </si>
  <si>
    <t>C1031</t>
  </si>
  <si>
    <t>Imran Iyer</t>
  </si>
  <si>
    <t>Feb</t>
  </si>
  <si>
    <t>TXN10037</t>
  </si>
  <si>
    <t>C1046</t>
  </si>
  <si>
    <t>Aditya Gupta</t>
  </si>
  <si>
    <t>TXN10038</t>
  </si>
  <si>
    <t>C1043</t>
  </si>
  <si>
    <t>Nisha Menon</t>
  </si>
  <si>
    <t>Cheque Deposit</t>
  </si>
  <si>
    <t>TXN10039</t>
  </si>
  <si>
    <t>C1008</t>
  </si>
  <si>
    <t>Deepak Iyer</t>
  </si>
  <si>
    <t>TXN10040</t>
  </si>
  <si>
    <t>TXN10041</t>
  </si>
  <si>
    <t>TXN10042</t>
  </si>
  <si>
    <t>C1030</t>
  </si>
  <si>
    <t>Deepak Kumar</t>
  </si>
  <si>
    <t>TXN10043</t>
  </si>
  <si>
    <t>C1058</t>
  </si>
  <si>
    <t>Neha Menon</t>
  </si>
  <si>
    <t>TXN10044</t>
  </si>
  <si>
    <t>C1009</t>
  </si>
  <si>
    <t>Suresh Iyer</t>
  </si>
  <si>
    <t>TXN10045</t>
  </si>
  <si>
    <t>TXN10046</t>
  </si>
  <si>
    <t>C1029</t>
  </si>
  <si>
    <t>Anjali Iyer</t>
  </si>
  <si>
    <t>TXN10047</t>
  </si>
  <si>
    <t>Car Loan</t>
  </si>
  <si>
    <t>TXN10048</t>
  </si>
  <si>
    <t>Mobile Recharge</t>
  </si>
  <si>
    <t>TXN10049</t>
  </si>
  <si>
    <t>C1059</t>
  </si>
  <si>
    <t>TXN10050</t>
  </si>
  <si>
    <t>C1017</t>
  </si>
  <si>
    <t>Suresh Menon</t>
  </si>
  <si>
    <t>Kolkata</t>
  </si>
  <si>
    <t>TXN10051</t>
  </si>
  <si>
    <t>C1027</t>
  </si>
  <si>
    <t>Anjali Das</t>
  </si>
  <si>
    <t>TXN10052</t>
  </si>
  <si>
    <t>TXN10053</t>
  </si>
  <si>
    <t>C1018</t>
  </si>
  <si>
    <t>TXN10054</t>
  </si>
  <si>
    <t>TXN10055</t>
  </si>
  <si>
    <t>C1034</t>
  </si>
  <si>
    <t>Arun Sharma</t>
  </si>
  <si>
    <t>TXN10056</t>
  </si>
  <si>
    <t>C1015</t>
  </si>
  <si>
    <t>TXN10057</t>
  </si>
  <si>
    <t>TXN10058</t>
  </si>
  <si>
    <t>C1048</t>
  </si>
  <si>
    <t>Farah Nair</t>
  </si>
  <si>
    <t>TXN10059</t>
  </si>
  <si>
    <t>TXN10060</t>
  </si>
  <si>
    <t>TXN10061</t>
  </si>
  <si>
    <t>C1035</t>
  </si>
  <si>
    <t>Rohit Sharma</t>
  </si>
  <si>
    <t>TXN10062</t>
  </si>
  <si>
    <t>TXN10063</t>
  </si>
  <si>
    <t>TXN10064</t>
  </si>
  <si>
    <t>TXN10065</t>
  </si>
  <si>
    <t>TXN10066</t>
  </si>
  <si>
    <t>TXN10067</t>
  </si>
  <si>
    <t>Salary Credit</t>
  </si>
  <si>
    <t>TXN10068</t>
  </si>
  <si>
    <t>C1037</t>
  </si>
  <si>
    <t>Nisha Patel</t>
  </si>
  <si>
    <t>TXN10069</t>
  </si>
  <si>
    <t>TXN10070</t>
  </si>
  <si>
    <t>C1044</t>
  </si>
  <si>
    <t>TXN10071</t>
  </si>
  <si>
    <t>TXN10072</t>
  </si>
  <si>
    <t>C1050</t>
  </si>
  <si>
    <t>Rahul Nair</t>
  </si>
  <si>
    <t>TXN10073</t>
  </si>
  <si>
    <t>C1022</t>
  </si>
  <si>
    <t>Rohit Kumar</t>
  </si>
  <si>
    <t>TXN10074</t>
  </si>
  <si>
    <t>TXN10075</t>
  </si>
  <si>
    <t>C1057</t>
  </si>
  <si>
    <t>Sneha Singh</t>
  </si>
  <si>
    <t>Mar</t>
  </si>
  <si>
    <t>TXN10076</t>
  </si>
  <si>
    <t>TXN10077</t>
  </si>
  <si>
    <t>C1042</t>
  </si>
  <si>
    <t>Anjali Gupta</t>
  </si>
  <si>
    <t>TXN10078</t>
  </si>
  <si>
    <t>TXN10079</t>
  </si>
  <si>
    <t>C1041</t>
  </si>
  <si>
    <t>Kavya Patel</t>
  </si>
  <si>
    <t>TXN10080</t>
  </si>
  <si>
    <t>TXN10081</t>
  </si>
  <si>
    <t>C1002</t>
  </si>
  <si>
    <t>Suresh Reddy</t>
  </si>
  <si>
    <t>TXN10082</t>
  </si>
  <si>
    <t>TXN10083</t>
  </si>
  <si>
    <t>C1033</t>
  </si>
  <si>
    <t>Ganesh Das</t>
  </si>
  <si>
    <t>TXN10084</t>
  </si>
  <si>
    <t>TXN10085</t>
  </si>
  <si>
    <t>C1007</t>
  </si>
  <si>
    <t>Ganesh Gupta</t>
  </si>
  <si>
    <t>TXN10086</t>
  </si>
  <si>
    <t>TXN10087</t>
  </si>
  <si>
    <t>TXN10088</t>
  </si>
  <si>
    <t>TXN10089</t>
  </si>
  <si>
    <t>TXN10090</t>
  </si>
  <si>
    <t>TXN10091</t>
  </si>
  <si>
    <t>TXN10092</t>
  </si>
  <si>
    <t>TXN10093</t>
  </si>
  <si>
    <t>TXN10094</t>
  </si>
  <si>
    <t>C1028</t>
  </si>
  <si>
    <t>Ramesh Singh</t>
  </si>
  <si>
    <t>Cash Deposit</t>
  </si>
  <si>
    <t>TXN10095</t>
  </si>
  <si>
    <t>TXN10096</t>
  </si>
  <si>
    <t>TXN10097</t>
  </si>
  <si>
    <t>TXN10098</t>
  </si>
  <si>
    <t>TXN10099</t>
  </si>
  <si>
    <t>C1013</t>
  </si>
  <si>
    <t>Rahul Das</t>
  </si>
  <si>
    <t>TXN10100</t>
  </si>
  <si>
    <t>TXN10101</t>
  </si>
  <si>
    <t>TXN10102</t>
  </si>
  <si>
    <t>TXN10103</t>
  </si>
  <si>
    <t>TXN10104</t>
  </si>
  <si>
    <t>TXN10105</t>
  </si>
  <si>
    <t>TXN10106</t>
  </si>
  <si>
    <t>TXN10107</t>
  </si>
  <si>
    <t>TXN10108</t>
  </si>
  <si>
    <t>TXN10109</t>
  </si>
  <si>
    <t>Water &amp; Gas</t>
  </si>
  <si>
    <t>Apr</t>
  </si>
  <si>
    <t>TXN10110</t>
  </si>
  <si>
    <t>C1038</t>
  </si>
  <si>
    <t>Sneha Patel</t>
  </si>
  <si>
    <t>TXN10111</t>
  </si>
  <si>
    <t>TXN10112</t>
  </si>
  <si>
    <t>TXN10113</t>
  </si>
  <si>
    <t>TXN10114</t>
  </si>
  <si>
    <t>TXN10115</t>
  </si>
  <si>
    <t>TXN10116</t>
  </si>
  <si>
    <t>TXN10117</t>
  </si>
  <si>
    <t>TXN10118</t>
  </si>
  <si>
    <t>TXN10119</t>
  </si>
  <si>
    <t>C1005</t>
  </si>
  <si>
    <t>Vikram Reddy</t>
  </si>
  <si>
    <t>TXN10120</t>
  </si>
  <si>
    <t>TXN10121</t>
  </si>
  <si>
    <t>TXN10122</t>
  </si>
  <si>
    <t>TXN10123</t>
  </si>
  <si>
    <t>TXN10124</t>
  </si>
  <si>
    <t>TXN10125</t>
  </si>
  <si>
    <t>TXN10126</t>
  </si>
  <si>
    <t>TXN10127</t>
  </si>
  <si>
    <t>TXN10128</t>
  </si>
  <si>
    <t>TXN10129</t>
  </si>
  <si>
    <t>TXN10130</t>
  </si>
  <si>
    <t>TXN10131</t>
  </si>
  <si>
    <t>TXN10132</t>
  </si>
  <si>
    <t>TXN10133</t>
  </si>
  <si>
    <t>TXN10134</t>
  </si>
  <si>
    <t>TXN10135</t>
  </si>
  <si>
    <t>TXN10136</t>
  </si>
  <si>
    <t>TXN10137</t>
  </si>
  <si>
    <t>May</t>
  </si>
  <si>
    <t>TXN10138</t>
  </si>
  <si>
    <t>TXN10139</t>
  </si>
  <si>
    <t>TXN10140</t>
  </si>
  <si>
    <t>TXN10141</t>
  </si>
  <si>
    <t>TXN10142</t>
  </si>
  <si>
    <t>TXN10143</t>
  </si>
  <si>
    <t>TXN10144</t>
  </si>
  <si>
    <t>TXN10145</t>
  </si>
  <si>
    <t>TXN10146</t>
  </si>
  <si>
    <t>TXN10147</t>
  </si>
  <si>
    <t>TXN10148</t>
  </si>
  <si>
    <t>TXN10149</t>
  </si>
  <si>
    <t>TXN10150</t>
  </si>
  <si>
    <t>TXN10151</t>
  </si>
  <si>
    <t>C1051</t>
  </si>
  <si>
    <t>TXN10152</t>
  </si>
  <si>
    <t>TXN10153</t>
  </si>
  <si>
    <t>TXN10154</t>
  </si>
  <si>
    <t>TXN10155</t>
  </si>
  <si>
    <t>TXN10156</t>
  </si>
  <si>
    <t>TXN10157</t>
  </si>
  <si>
    <t>TXN10158</t>
  </si>
  <si>
    <t>TXN10159</t>
  </si>
  <si>
    <t>TXN10160</t>
  </si>
  <si>
    <t>TXN10161</t>
  </si>
  <si>
    <t>TXN10162</t>
  </si>
  <si>
    <t>TXN10163</t>
  </si>
  <si>
    <t>Jun</t>
  </si>
  <si>
    <t>TXN10164</t>
  </si>
  <si>
    <t>C1045</t>
  </si>
  <si>
    <t>Lakshmi Das</t>
  </si>
  <si>
    <t>TXN10165</t>
  </si>
  <si>
    <t>TXN10166</t>
  </si>
  <si>
    <t>TXN10167</t>
  </si>
  <si>
    <t>C1060</t>
  </si>
  <si>
    <t>Nisha Nair</t>
  </si>
  <si>
    <t>TXN10168</t>
  </si>
  <si>
    <t>TXN10169</t>
  </si>
  <si>
    <t>TXN10170</t>
  </si>
  <si>
    <t>TXN10171</t>
  </si>
  <si>
    <t>TXN10172</t>
  </si>
  <si>
    <t>TXN10173</t>
  </si>
  <si>
    <t>TXN10174</t>
  </si>
  <si>
    <t>TXN10175</t>
  </si>
  <si>
    <t>TXN10176</t>
  </si>
  <si>
    <t>TXN10177</t>
  </si>
  <si>
    <t>TXN10178</t>
  </si>
  <si>
    <t>TXN10179</t>
  </si>
  <si>
    <t>C1012</t>
  </si>
  <si>
    <t>TXN10180</t>
  </si>
  <si>
    <t>TXN10181</t>
  </si>
  <si>
    <t>TXN10182</t>
  </si>
  <si>
    <t>TXN10183</t>
  </si>
  <si>
    <t>TXN10184</t>
  </si>
  <si>
    <t>TXN10185</t>
  </si>
  <si>
    <t>TXN10186</t>
  </si>
  <si>
    <t>TXN10187</t>
  </si>
  <si>
    <t>TXN10188</t>
  </si>
  <si>
    <t>TXN10189</t>
  </si>
  <si>
    <t>TXN10190</t>
  </si>
  <si>
    <t>TXN10191</t>
  </si>
  <si>
    <t>TXN10192</t>
  </si>
  <si>
    <t>TXN10193</t>
  </si>
  <si>
    <t>TXN10194</t>
  </si>
  <si>
    <t>TXN10195</t>
  </si>
  <si>
    <t>TXN10196</t>
  </si>
  <si>
    <t>TXN10197</t>
  </si>
  <si>
    <t>TXN10198</t>
  </si>
  <si>
    <t>TXN10199</t>
  </si>
  <si>
    <t>TXN10200</t>
  </si>
  <si>
    <t>TXN10201</t>
  </si>
  <si>
    <t>TXN10202</t>
  </si>
  <si>
    <t>TXN10203</t>
  </si>
  <si>
    <t>TXN10204</t>
  </si>
  <si>
    <t>TXN10205</t>
  </si>
  <si>
    <t>TXN10206</t>
  </si>
  <si>
    <t>Jul</t>
  </si>
  <si>
    <t>TXN10207</t>
  </si>
  <si>
    <t>TXN10208</t>
  </si>
  <si>
    <t>TXN10209</t>
  </si>
  <si>
    <t>TXN10210</t>
  </si>
  <si>
    <t>TXN10211</t>
  </si>
  <si>
    <t>TXN10212</t>
  </si>
  <si>
    <t>TXN10213</t>
  </si>
  <si>
    <t>TXN10214</t>
  </si>
  <si>
    <t>TXN10215</t>
  </si>
  <si>
    <t>TXN10216</t>
  </si>
  <si>
    <t>TXN10217</t>
  </si>
  <si>
    <t>TXN10218</t>
  </si>
  <si>
    <t>TXN10219</t>
  </si>
  <si>
    <t>TXN10220</t>
  </si>
  <si>
    <t>TXN10221</t>
  </si>
  <si>
    <t>TXN10222</t>
  </si>
  <si>
    <t>TXN10223</t>
  </si>
  <si>
    <t>TXN10224</t>
  </si>
  <si>
    <t>TXN10225</t>
  </si>
  <si>
    <t>TXN10226</t>
  </si>
  <si>
    <t>TXN10227</t>
  </si>
  <si>
    <t>TXN10228</t>
  </si>
  <si>
    <t>TXN10229</t>
  </si>
  <si>
    <t>TXN10230</t>
  </si>
  <si>
    <t>TXN10231</t>
  </si>
  <si>
    <t>TXN10232</t>
  </si>
  <si>
    <t>TXN10233</t>
  </si>
  <si>
    <t>TXN10234</t>
  </si>
  <si>
    <t>Aug</t>
  </si>
  <si>
    <t>TXN10235</t>
  </si>
  <si>
    <t>TXN10236</t>
  </si>
  <si>
    <t>TXN10237</t>
  </si>
  <si>
    <t>TXN10238</t>
  </si>
  <si>
    <t>TXN10239</t>
  </si>
  <si>
    <t>TXN10240</t>
  </si>
  <si>
    <t>TXN10241</t>
  </si>
  <si>
    <t>TXN10242</t>
  </si>
  <si>
    <t>TXN10243</t>
  </si>
  <si>
    <t>TXN10244</t>
  </si>
  <si>
    <t>TXN10245</t>
  </si>
  <si>
    <t>TXN10246</t>
  </si>
  <si>
    <t>TXN10247</t>
  </si>
  <si>
    <t>TXN10248</t>
  </si>
  <si>
    <t>TXN10249</t>
  </si>
  <si>
    <t>TXN10250</t>
  </si>
  <si>
    <t>TXN10251</t>
  </si>
  <si>
    <t>TXN10252</t>
  </si>
  <si>
    <t>TXN10253</t>
  </si>
  <si>
    <t>TXN10254</t>
  </si>
  <si>
    <t>TXN10255</t>
  </si>
  <si>
    <t>TXN10256</t>
  </si>
  <si>
    <t>TXN10257</t>
  </si>
  <si>
    <t>TXN10258</t>
  </si>
  <si>
    <t>TXN10259</t>
  </si>
  <si>
    <t>TXN10260</t>
  </si>
  <si>
    <t>TXN10261</t>
  </si>
  <si>
    <t>C1024</t>
  </si>
  <si>
    <t>Vikram Gupta</t>
  </si>
  <si>
    <t>TXN10262</t>
  </si>
  <si>
    <t>TXN10263</t>
  </si>
  <si>
    <t>TXN10264</t>
  </si>
  <si>
    <t>TXN10265</t>
  </si>
  <si>
    <t>TXN10266</t>
  </si>
  <si>
    <t>TXN10267</t>
  </si>
  <si>
    <t>TXN10268</t>
  </si>
  <si>
    <t>TXN10269</t>
  </si>
  <si>
    <t>Sep</t>
  </si>
  <si>
    <t>TXN10270</t>
  </si>
  <si>
    <t>TXN10271</t>
  </si>
  <si>
    <t>TXN10272</t>
  </si>
  <si>
    <t>TXN10273</t>
  </si>
  <si>
    <t>TXN10274</t>
  </si>
  <si>
    <t>TXN10275</t>
  </si>
  <si>
    <t>TXN10276</t>
  </si>
  <si>
    <t>TXN10277</t>
  </si>
  <si>
    <t>TXN10278</t>
  </si>
  <si>
    <t>TXN10279</t>
  </si>
  <si>
    <t>TXN10280</t>
  </si>
  <si>
    <t>TXN10281</t>
  </si>
  <si>
    <t>TXN10282</t>
  </si>
  <si>
    <t>TXN10283</t>
  </si>
  <si>
    <t>TXN10284</t>
  </si>
  <si>
    <t>TXN10285</t>
  </si>
  <si>
    <t>TXN10286</t>
  </si>
  <si>
    <t>TXN10287</t>
  </si>
  <si>
    <t>TXN10288</t>
  </si>
  <si>
    <t>TXN10289</t>
  </si>
  <si>
    <t>TXN10290</t>
  </si>
  <si>
    <t>TXN10291</t>
  </si>
  <si>
    <t>TXN10292</t>
  </si>
  <si>
    <t>TXN10293</t>
  </si>
  <si>
    <t>TXN10294</t>
  </si>
  <si>
    <t>TXN10295</t>
  </si>
  <si>
    <t>TXN10296</t>
  </si>
  <si>
    <t>TXN10297</t>
  </si>
  <si>
    <t>TXN10298</t>
  </si>
  <si>
    <t>TXN10299</t>
  </si>
  <si>
    <t>TXN10300</t>
  </si>
  <si>
    <t>Transaction Status</t>
  </si>
  <si>
    <t>Row Labels</t>
  </si>
  <si>
    <t>Grand Total</t>
  </si>
  <si>
    <t>Count of Transaction ID</t>
  </si>
  <si>
    <t>Sum of Amount (INR)</t>
  </si>
  <si>
    <t>Transaction Amount by Month</t>
  </si>
  <si>
    <t>Branch Performance</t>
  </si>
  <si>
    <t>Transactions by Channel</t>
  </si>
  <si>
    <t>Overall KPIs</t>
  </si>
  <si>
    <t>BANKING TRANSACTIONS DASHBOARD</t>
  </si>
  <si>
    <t>Total Transaction Amount</t>
  </si>
  <si>
    <t>Successful Transactions</t>
  </si>
  <si>
    <t>Success Rate</t>
  </si>
  <si>
    <t>Monthly Transaction Amount</t>
  </si>
  <si>
    <t>Total 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</si>
</sst>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8" formatCode="dd/mmm/yyyy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indexed="9"/>
      <name val="Arial"/>
      <charset val="134"/>
    </font>
    <font>
      <sz val="10"/>
      <name val="Arial"/>
      <charset val="134"/>
    </font>
    <font>
      <b/>
      <sz val="14"/>
      <color theme="1"/>
      <name val="Aptos Narrow"/>
      <family val="2"/>
      <scheme val="minor"/>
    </font>
    <font>
      <b/>
      <sz val="18"/>
      <color theme="5" tint="-0.499984740745262"/>
      <name val="Aptos Narrow"/>
      <family val="2"/>
      <scheme val="minor"/>
    </font>
    <font>
      <b/>
      <sz val="14"/>
      <color theme="1"/>
      <name val="Aptos"/>
      <family val="2"/>
    </font>
    <font>
      <sz val="14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1" xfId="0" applyNumberFormat="1" applyFont="1" applyFill="1" applyBorder="1" applyAlignment="1" applyProtection="1">
      <alignment horizontal="center"/>
    </xf>
    <xf numFmtId="0" fontId="2" fillId="2" borderId="2" xfId="0" applyNumberFormat="1" applyFont="1" applyFill="1" applyBorder="1" applyAlignment="1" applyProtection="1">
      <alignment horizontal="center"/>
    </xf>
    <xf numFmtId="0" fontId="2" fillId="2" borderId="3" xfId="0" applyNumberFormat="1" applyFont="1" applyFill="1" applyBorder="1" applyAlignment="1" applyProtection="1">
      <alignment horizontal="center"/>
    </xf>
    <xf numFmtId="0" fontId="3" fillId="0" borderId="4" xfId="0" applyNumberFormat="1" applyFont="1" applyFill="1" applyBorder="1" applyAlignment="1" applyProtection="1"/>
    <xf numFmtId="168" fontId="3" fillId="0" borderId="5" xfId="0" applyNumberFormat="1" applyFont="1" applyFill="1" applyBorder="1" applyAlignment="1" applyProtection="1"/>
    <xf numFmtId="0" fontId="3" fillId="0" borderId="5" xfId="0" applyNumberFormat="1" applyFont="1" applyFill="1" applyBorder="1" applyAlignment="1" applyProtection="1"/>
    <xf numFmtId="3" fontId="3" fillId="0" borderId="5" xfId="0" applyNumberFormat="1" applyFont="1" applyFill="1" applyBorder="1" applyAlignment="1" applyProtection="1"/>
    <xf numFmtId="0" fontId="3" fillId="0" borderId="6" xfId="0" applyNumberFormat="1" applyFont="1" applyFill="1" applyBorder="1" applyAlignment="1" applyProtection="1"/>
    <xf numFmtId="0" fontId="3" fillId="0" borderId="7" xfId="0" applyNumberFormat="1" applyFont="1" applyFill="1" applyBorder="1" applyAlignment="1" applyProtection="1"/>
    <xf numFmtId="168" fontId="3" fillId="0" borderId="8" xfId="0" applyNumberFormat="1" applyFont="1" applyFill="1" applyBorder="1" applyAlignment="1" applyProtection="1"/>
    <xf numFmtId="0" fontId="3" fillId="0" borderId="8" xfId="0" applyNumberFormat="1" applyFont="1" applyFill="1" applyBorder="1" applyAlignment="1" applyProtection="1"/>
    <xf numFmtId="3" fontId="3" fillId="0" borderId="8" xfId="0" applyNumberFormat="1" applyFont="1" applyFill="1" applyBorder="1" applyAlignment="1" applyProtection="1"/>
    <xf numFmtId="0" fontId="3" fillId="0" borderId="9" xfId="0" applyNumberFormat="1" applyFont="1" applyFill="1" applyBorder="1" applyAlignment="1" applyProtection="1"/>
    <xf numFmtId="0" fontId="4" fillId="0" borderId="0" xfId="0" applyFont="1"/>
    <xf numFmtId="0" fontId="0" fillId="0" borderId="10" xfId="0" pivotButton="1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10" xfId="0" applyNumberFormat="1" applyBorder="1"/>
    <xf numFmtId="3" fontId="0" fillId="0" borderId="10" xfId="0" applyNumberFormat="1" applyBorder="1"/>
    <xf numFmtId="0" fontId="5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7" fillId="3" borderId="0" xfId="0" applyFont="1" applyFill="1" applyAlignment="1"/>
    <xf numFmtId="43" fontId="8" fillId="4" borderId="0" xfId="1" applyFont="1" applyFill="1" applyAlignment="1">
      <alignment horizontal="center"/>
    </xf>
    <xf numFmtId="10" fontId="8" fillId="4" borderId="0" xfId="2" applyNumberFormat="1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4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9"/>
        <name val="Arial"/>
        <charset val="134"/>
        <scheme val="none"/>
      </font>
      <numFmt numFmtId="0" formatCode="General"/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34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34"/>
        <scheme val="none"/>
      </font>
      <numFmt numFmtId="168" formatCode="dd/m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[Banking_transaction_for_dashboard.xlsx]Pivot table !PivotTable2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 '!$G$3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'!$F$4:$F$13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'Pivot table '!$G$4:$G$13</c:f>
              <c:numCache>
                <c:formatCode>#,##0</c:formatCode>
                <c:ptCount val="9"/>
                <c:pt idx="0">
                  <c:v>1171610</c:v>
                </c:pt>
                <c:pt idx="1">
                  <c:v>1395000</c:v>
                </c:pt>
                <c:pt idx="2">
                  <c:v>1369650</c:v>
                </c:pt>
                <c:pt idx="3">
                  <c:v>918160</c:v>
                </c:pt>
                <c:pt idx="4">
                  <c:v>823070</c:v>
                </c:pt>
                <c:pt idx="5">
                  <c:v>1313470</c:v>
                </c:pt>
                <c:pt idx="6">
                  <c:v>1083580</c:v>
                </c:pt>
                <c:pt idx="7">
                  <c:v>1590280</c:v>
                </c:pt>
                <c:pt idx="8">
                  <c:v>1046360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EF-42EC-8577-D2338C099B5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5795487"/>
        <c:axId val="1835795967"/>
      </c:lineChart>
      <c:catAx>
        <c:axId val="1835795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795967"/>
        <c:crosses val="autoZero"/>
        <c:auto val="1"/>
        <c:lblAlgn val="ctr"/>
        <c:lblOffset val="100"/>
        <c:noMultiLvlLbl val="0"/>
      </c:catAx>
      <c:valAx>
        <c:axId val="183579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795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[Banking_transaction_for_dashboard.xlsx]Pivot table !PivotTable1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50800" dir="5400000" sx="10000" sy="10000" algn="ctr" rotWithShape="0">
                <a:srgbClr val="000000">
                  <a:alpha val="43137"/>
                </a:srgb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0" i="0" u="none" strike="noStrike" kern="1200" baseline="0">
                  <a:ln>
                    <a:gradFill>
                      <a:gsLst>
                        <a:gs pos="0">
                          <a:schemeClr val="accent1">
                            <a:lumMod val="5000"/>
                            <a:lumOff val="95000"/>
                          </a:schemeClr>
                        </a:gs>
                        <a:gs pos="74000">
                          <a:schemeClr val="accent1">
                            <a:lumMod val="45000"/>
                            <a:lumOff val="55000"/>
                          </a:schemeClr>
                        </a:gs>
                        <a:gs pos="83000">
                          <a:schemeClr val="accent1">
                            <a:lumMod val="45000"/>
                            <a:lumOff val="55000"/>
                          </a:schemeClr>
                        </a:gs>
                        <a:gs pos="100000">
                          <a:schemeClr val="accent1">
                            <a:lumMod val="30000"/>
                            <a:lumOff val="70000"/>
                          </a:schemeClr>
                        </a:gs>
                      </a:gsLst>
                      <a:lin ang="5400000" scaled="1"/>
                    </a:gradFill>
                  </a:ln>
                  <a:gradFill flip="none" rotWithShape="1">
                    <a:gsLst>
                      <a:gs pos="0">
                        <a:schemeClr val="accent3">
                          <a:lumMod val="5000"/>
                          <a:lumOff val="95000"/>
                          <a:alpha val="89000"/>
                        </a:schemeClr>
                      </a:gs>
                      <a:gs pos="74000">
                        <a:schemeClr val="accent3">
                          <a:lumMod val="45000"/>
                          <a:lumOff val="55000"/>
                        </a:schemeClr>
                      </a:gs>
                      <a:gs pos="83000">
                        <a:schemeClr val="accent3">
                          <a:lumMod val="45000"/>
                          <a:lumOff val="55000"/>
                        </a:schemeClr>
                      </a:gs>
                      <a:gs pos="100000">
                        <a:schemeClr val="accent3">
                          <a:lumMod val="30000"/>
                          <a:lumOff val="70000"/>
                        </a:schemeClr>
                      </a:gs>
                    </a:gsLst>
                    <a:lin ang="5400000" scaled="1"/>
                    <a:tileRect/>
                  </a:gra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>
              <a:outerShdw blurRad="50800" dist="50800" dir="5400000" sx="10000" sy="10000" algn="ctr" rotWithShape="0">
                <a:srgbClr val="000000">
                  <a:alpha val="43137"/>
                </a:srgb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300" b="0" i="0" u="none" strike="noStrike" kern="1200" baseline="0">
                  <a:ln>
                    <a:gradFill>
                      <a:gsLst>
                        <a:gs pos="0">
                          <a:schemeClr val="accent1">
                            <a:lumMod val="5000"/>
                            <a:lumOff val="95000"/>
                          </a:schemeClr>
                        </a:gs>
                        <a:gs pos="74000">
                          <a:schemeClr val="accent1">
                            <a:lumMod val="45000"/>
                            <a:lumOff val="55000"/>
                          </a:schemeClr>
                        </a:gs>
                        <a:gs pos="83000">
                          <a:schemeClr val="accent1">
                            <a:lumMod val="45000"/>
                            <a:lumOff val="55000"/>
                          </a:schemeClr>
                        </a:gs>
                        <a:gs pos="100000">
                          <a:schemeClr val="accent1">
                            <a:lumMod val="30000"/>
                            <a:lumOff val="70000"/>
                          </a:schemeClr>
                        </a:gs>
                      </a:gsLst>
                      <a:lin ang="5400000" scaled="1"/>
                    </a:gradFill>
                  </a:ln>
                  <a:gradFill flip="none" rotWithShape="1">
                    <a:gsLst>
                      <a:gs pos="0">
                        <a:schemeClr val="accent3">
                          <a:lumMod val="5000"/>
                          <a:lumOff val="95000"/>
                          <a:alpha val="89000"/>
                        </a:schemeClr>
                      </a:gs>
                      <a:gs pos="74000">
                        <a:schemeClr val="accent3">
                          <a:lumMod val="45000"/>
                          <a:lumOff val="55000"/>
                        </a:schemeClr>
                      </a:gs>
                      <a:gs pos="83000">
                        <a:schemeClr val="accent3">
                          <a:lumMod val="45000"/>
                          <a:lumOff val="55000"/>
                        </a:schemeClr>
                      </a:gs>
                      <a:gs pos="100000">
                        <a:schemeClr val="accent3">
                          <a:lumMod val="30000"/>
                          <a:lumOff val="70000"/>
                        </a:schemeClr>
                      </a:gs>
                    </a:gsLst>
                    <a:lin ang="5400000" scaled="1"/>
                    <a:tileRect/>
                  </a:gra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1450722674462471E-2"/>
                  <c:h val="0.11211939782276466"/>
                </c:manualLayout>
              </c15:layout>
            </c:ext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 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27C-4A18-A70D-10DB97F702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27C-4A18-A70D-10DB97F702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27C-4A18-A70D-10DB97F7029A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>
                  <a:outerShdw blurRad="50800" dist="50800" dir="5400000" sx="10000" sy="10000" algn="ctr" rotWithShape="0">
                    <a:srgbClr val="000000">
                      <a:alpha val="43137"/>
                    </a:srgb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0" i="0" u="none" strike="noStrike" kern="1200" baseline="0">
                      <a:ln>
                        <a:gradFill>
                          <a:gsLst>
                            <a:gs pos="0">
                              <a:schemeClr val="accent1">
                                <a:lumMod val="5000"/>
                                <a:lumOff val="95000"/>
                              </a:schemeClr>
                            </a:gs>
                            <a:gs pos="74000">
                              <a:schemeClr val="accent1">
                                <a:lumMod val="45000"/>
                                <a:lumOff val="55000"/>
                              </a:schemeClr>
                            </a:gs>
                            <a:gs pos="83000">
                              <a:schemeClr val="accent1">
                                <a:lumMod val="45000"/>
                                <a:lumOff val="55000"/>
                              </a:schemeClr>
                            </a:gs>
                            <a:gs pos="100000">
                              <a:schemeClr val="accent1">
                                <a:lumMod val="30000"/>
                                <a:lumOff val="70000"/>
                              </a:schemeClr>
                            </a:gs>
                          </a:gsLst>
                          <a:lin ang="5400000" scaled="1"/>
                        </a:gradFill>
                      </a:ln>
                      <a:gradFill flip="none" rotWithShape="1">
                        <a:gsLst>
                          <a:gs pos="0">
                            <a:schemeClr val="accent3">
                              <a:lumMod val="5000"/>
                              <a:lumOff val="95000"/>
                              <a:alpha val="89000"/>
                            </a:schemeClr>
                          </a:gs>
                          <a:gs pos="74000">
                            <a:schemeClr val="accent3">
                              <a:lumMod val="45000"/>
                              <a:lumOff val="55000"/>
                            </a:schemeClr>
                          </a:gs>
                          <a:gs pos="83000">
                            <a:schemeClr val="accent3">
                              <a:lumMod val="45000"/>
                              <a:lumOff val="55000"/>
                            </a:schemeClr>
                          </a:gs>
                          <a:gs pos="100000">
                            <a:schemeClr val="accent3">
                              <a:lumMod val="30000"/>
                              <a:lumOff val="70000"/>
                            </a:schemeClr>
                          </a:gs>
                        </a:gsLst>
                        <a:lin ang="5400000" scaled="1"/>
                        <a:tileRect/>
                      </a:gra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50722674462471E-2"/>
                      <c:h val="0.1121193978227646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A27C-4A18-A70D-10DB97F7029A}"/>
                </c:ext>
              </c:extLst>
            </c:dLbl>
            <c:spPr>
              <a:noFill/>
              <a:ln>
                <a:noFill/>
              </a:ln>
              <a:effectLst>
                <a:outerShdw blurRad="50800" dist="50800" dir="5400000" sx="10000" sy="10000" algn="ctr" rotWithShape="0">
                  <a:srgbClr val="000000">
                    <a:alpha val="43137"/>
                  </a:srgb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ln>
                      <a:gradFill>
                        <a:gsLst>
                          <a:gs pos="0">
                            <a:schemeClr val="accent1">
                              <a:lumMod val="5000"/>
                              <a:lumOff val="95000"/>
                            </a:schemeClr>
                          </a:gs>
                          <a:gs pos="74000">
                            <a:schemeClr val="accent1">
                              <a:lumMod val="45000"/>
                              <a:lumOff val="55000"/>
                            </a:schemeClr>
                          </a:gs>
                          <a:gs pos="83000">
                            <a:schemeClr val="accent1">
                              <a:lumMod val="45000"/>
                              <a:lumOff val="55000"/>
                            </a:schemeClr>
                          </a:gs>
                          <a:gs pos="100000">
                            <a:schemeClr val="accent1">
                              <a:lumMod val="30000"/>
                              <a:lumOff val="70000"/>
                            </a:schemeClr>
                          </a:gs>
                        </a:gsLst>
                        <a:lin ang="5400000" scaled="1"/>
                      </a:gradFill>
                    </a:ln>
                    <a:gradFill flip="none" rotWithShape="1">
                      <a:gsLst>
                        <a:gs pos="0">
                          <a:schemeClr val="accent3">
                            <a:lumMod val="5000"/>
                            <a:lumOff val="95000"/>
                            <a:alpha val="89000"/>
                          </a:schemeClr>
                        </a:gs>
                        <a:gs pos="74000">
                          <a:schemeClr val="accent3">
                            <a:lumMod val="45000"/>
                            <a:lumOff val="55000"/>
                          </a:schemeClr>
                        </a:gs>
                        <a:gs pos="83000">
                          <a:schemeClr val="accent3">
                            <a:lumMod val="45000"/>
                            <a:lumOff val="55000"/>
                          </a:schemeClr>
                        </a:gs>
                        <a:gs pos="100000">
                          <a:schemeClr val="accent3">
                            <a:lumMod val="30000"/>
                            <a:lumOff val="70000"/>
                          </a:schemeClr>
                        </a:gs>
                      </a:gsLst>
                      <a:lin ang="5400000" scaled="1"/>
                      <a:tileRect/>
                    </a:gra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'!$A$4:$A$7</c:f>
              <c:strCache>
                <c:ptCount val="3"/>
                <c:pt idx="0">
                  <c:v>Failed</c:v>
                </c:pt>
                <c:pt idx="1">
                  <c:v>Pending</c:v>
                </c:pt>
                <c:pt idx="2">
                  <c:v>Success</c:v>
                </c:pt>
              </c:strCache>
            </c:strRef>
          </c:cat>
          <c:val>
            <c:numRef>
              <c:f>'Pivot table '!$B$4:$B$7</c:f>
              <c:numCache>
                <c:formatCode>General</c:formatCode>
                <c:ptCount val="3"/>
                <c:pt idx="0">
                  <c:v>20</c:v>
                </c:pt>
                <c:pt idx="1">
                  <c:v>11</c:v>
                </c:pt>
                <c:pt idx="2">
                  <c:v>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7C-4A18-A70D-10DB97F70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>
          <a:outerShdw blurRad="50800" dist="50800" dir="5400000" sx="9000" sy="9000" algn="ctr" rotWithShape="0">
            <a:srgbClr val="000000">
              <a:alpha val="43137"/>
            </a:srgbClr>
          </a:outerShdw>
          <a:softEdge rad="76200"/>
        </a:effectLst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3">
            <a:lumMod val="20000"/>
            <a:lumOff val="8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[Banking_transaction_for_dashboard.xlsx]Pivot table !PivotTable3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4404179591187465"/>
          <c:y val="0.34466380338821284"/>
          <c:w val="0.31441050929239911"/>
          <c:h val="0.521286089238845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 '!$K$3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f>'Pivot table '!$J$4:$J$12</c:f>
              <c:strCache>
                <c:ptCount val="8"/>
                <c:pt idx="0">
                  <c:v>Ahmedabad</c:v>
                </c:pt>
                <c:pt idx="1">
                  <c:v>Bengaluru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Kolkata</c:v>
                </c:pt>
                <c:pt idx="6">
                  <c:v>Mumbai</c:v>
                </c:pt>
                <c:pt idx="7">
                  <c:v>Pune</c:v>
                </c:pt>
              </c:strCache>
            </c:strRef>
          </c:cat>
          <c:val>
            <c:numRef>
              <c:f>'Pivot table '!$K$4:$K$12</c:f>
              <c:numCache>
                <c:formatCode>#,##0</c:formatCode>
                <c:ptCount val="8"/>
                <c:pt idx="0">
                  <c:v>752820</c:v>
                </c:pt>
                <c:pt idx="1">
                  <c:v>2030150</c:v>
                </c:pt>
                <c:pt idx="2">
                  <c:v>2146010</c:v>
                </c:pt>
                <c:pt idx="3">
                  <c:v>703100</c:v>
                </c:pt>
                <c:pt idx="4">
                  <c:v>1608490</c:v>
                </c:pt>
                <c:pt idx="5">
                  <c:v>334830</c:v>
                </c:pt>
                <c:pt idx="6">
                  <c:v>1597400</c:v>
                </c:pt>
                <c:pt idx="7">
                  <c:v>1538380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67-4FF1-950B-C22A3F5D26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35775327"/>
        <c:axId val="1835759487"/>
      </c:barChart>
      <c:catAx>
        <c:axId val="1835775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759487"/>
        <c:crosses val="autoZero"/>
        <c:auto val="1"/>
        <c:lblAlgn val="ctr"/>
        <c:lblOffset val="100"/>
        <c:noMultiLvlLbl val="0"/>
      </c:catAx>
      <c:valAx>
        <c:axId val="1835759487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775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[Banking_transaction_for_dashboard.xlsx]Pivot table !PivotTable4</c:name>
    <c:fmtId val="1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5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 '!$B$21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accent5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'!$A$22:$A$28</c:f>
              <c:strCache>
                <c:ptCount val="6"/>
                <c:pt idx="0">
                  <c:v>ATM</c:v>
                </c:pt>
                <c:pt idx="1">
                  <c:v>Branch</c:v>
                </c:pt>
                <c:pt idx="2">
                  <c:v>Mobile Banking</c:v>
                </c:pt>
                <c:pt idx="3">
                  <c:v>Net Banking</c:v>
                </c:pt>
                <c:pt idx="4">
                  <c:v>POS</c:v>
                </c:pt>
                <c:pt idx="5">
                  <c:v>UPI</c:v>
                </c:pt>
              </c:strCache>
            </c:strRef>
          </c:cat>
          <c:val>
            <c:numRef>
              <c:f>'Pivot table '!$B$22:$B$28</c:f>
              <c:numCache>
                <c:formatCode>General</c:formatCode>
                <c:ptCount val="6"/>
                <c:pt idx="0">
                  <c:v>34</c:v>
                </c:pt>
                <c:pt idx="1">
                  <c:v>38</c:v>
                </c:pt>
                <c:pt idx="2">
                  <c:v>78</c:v>
                </c:pt>
                <c:pt idx="3">
                  <c:v>79</c:v>
                </c:pt>
                <c:pt idx="4">
                  <c:v>24</c:v>
                </c:pt>
                <c:pt idx="5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EE-4662-85B5-4A48ACF7CAD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948685567"/>
        <c:axId val="1948686047"/>
        <c:axId val="0"/>
      </c:bar3DChart>
      <c:catAx>
        <c:axId val="1948685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686047"/>
        <c:crosses val="autoZero"/>
        <c:auto val="1"/>
        <c:lblAlgn val="ctr"/>
        <c:lblOffset val="100"/>
        <c:noMultiLvlLbl val="0"/>
      </c:catAx>
      <c:valAx>
        <c:axId val="194868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68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[Banking_transaction_for_dashboard.xlsx]Pivot table !PivotTable5</c:name>
    <c:fmtId val="2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53340568757030371"/>
          <c:y val="0.3223896120127841"/>
          <c:w val="0.25680364173228343"/>
          <c:h val="0.56923018551252524"/>
        </c:manualLayout>
      </c:layout>
      <c:bar3DChart>
        <c:barDir val="bar"/>
        <c:grouping val="stacked"/>
        <c:varyColors val="0"/>
        <c:ser>
          <c:idx val="0"/>
          <c:order val="0"/>
          <c:tx>
            <c:strRef>
              <c:f>'Pivot table '!$F$21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'!$E$22:$E$28</c:f>
              <c:strCache>
                <c:ptCount val="6"/>
                <c:pt idx="0">
                  <c:v>Bill Payment</c:v>
                </c:pt>
                <c:pt idx="1">
                  <c:v>Card Payment</c:v>
                </c:pt>
                <c:pt idx="2">
                  <c:v>Deposit</c:v>
                </c:pt>
                <c:pt idx="3">
                  <c:v>Loan EMI</c:v>
                </c:pt>
                <c:pt idx="4">
                  <c:v>Transfer</c:v>
                </c:pt>
                <c:pt idx="5">
                  <c:v>Withdrawal</c:v>
                </c:pt>
              </c:strCache>
            </c:strRef>
          </c:cat>
          <c:val>
            <c:numRef>
              <c:f>'Pivot table '!$F$22:$F$28</c:f>
              <c:numCache>
                <c:formatCode>#,##0</c:formatCode>
                <c:ptCount val="6"/>
                <c:pt idx="0">
                  <c:v>255160</c:v>
                </c:pt>
                <c:pt idx="1">
                  <c:v>1036070</c:v>
                </c:pt>
                <c:pt idx="2">
                  <c:v>3895810</c:v>
                </c:pt>
                <c:pt idx="3">
                  <c:v>635500</c:v>
                </c:pt>
                <c:pt idx="4">
                  <c:v>3754820</c:v>
                </c:pt>
                <c:pt idx="5">
                  <c:v>1133820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04-4B26-896E-22DA537943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835861247"/>
        <c:axId val="1835851647"/>
        <c:axId val="0"/>
      </c:bar3DChart>
      <c:catAx>
        <c:axId val="1835861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851647"/>
        <c:crosses val="autoZero"/>
        <c:auto val="1"/>
        <c:lblAlgn val="ctr"/>
        <c:lblOffset val="100"/>
        <c:noMultiLvlLbl val="0"/>
      </c:catAx>
      <c:valAx>
        <c:axId val="1835851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861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9</xdr:row>
      <xdr:rowOff>0</xdr:rowOff>
    </xdr:from>
    <xdr:to>
      <xdr:col>5</xdr:col>
      <xdr:colOff>556261</xdr:colOff>
      <xdr:row>23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6BA097-1B8B-48C1-838F-3DD482896A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9</xdr:row>
      <xdr:rowOff>0</xdr:rowOff>
    </xdr:from>
    <xdr:to>
      <xdr:col>18</xdr:col>
      <xdr:colOff>358369</xdr:colOff>
      <xdr:row>23</xdr:row>
      <xdr:rowOff>50533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25EFD0-AB7B-48D7-95B9-529152CFCB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81642</xdr:colOff>
      <xdr:row>9</xdr:row>
      <xdr:rowOff>27215</xdr:rowOff>
    </xdr:from>
    <xdr:to>
      <xdr:col>31</xdr:col>
      <xdr:colOff>258536</xdr:colOff>
      <xdr:row>23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6C265A-EF6A-44DE-AEC4-EDAEC89E44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26</xdr:row>
      <xdr:rowOff>157299</xdr:rowOff>
    </xdr:from>
    <xdr:to>
      <xdr:col>6</xdr:col>
      <xdr:colOff>234329</xdr:colOff>
      <xdr:row>39</xdr:row>
      <xdr:rowOff>151484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BC457A-685D-497D-B966-F164AD3CEF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27</xdr:row>
      <xdr:rowOff>0</xdr:rowOff>
    </xdr:from>
    <xdr:to>
      <xdr:col>19</xdr:col>
      <xdr:colOff>128451</xdr:colOff>
      <xdr:row>39</xdr:row>
      <xdr:rowOff>121920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3AA7B87-0899-4D38-B639-F78B438B3A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shaya" refreshedDate="46316.609361574076" createdVersion="8" refreshedVersion="8" minRefreshableVersion="3" recordCount="300" xr:uid="{A89D7F1B-FED9-42F4-955A-3D9953CE3B10}">
  <cacheSource type="worksheet">
    <worksheetSource name="BankingData"/>
  </cacheSource>
  <cacheFields count="14">
    <cacheField name="Transaction ID" numFmtId="0">
      <sharedItems/>
    </cacheField>
    <cacheField name="Date" numFmtId="168">
      <sharedItems containsSemiMixedTypes="0" containsNonDate="0" containsDate="1" containsString="0" minDate="2026-01-04T00:00:00" maxDate="2026-09-30T00:00:00"/>
    </cacheField>
    <cacheField name="Customer ID" numFmtId="0">
      <sharedItems/>
    </cacheField>
    <cacheField name="Customer Name" numFmtId="0">
      <sharedItems/>
    </cacheField>
    <cacheField name="Account Type" numFmtId="0">
      <sharedItems/>
    </cacheField>
    <cacheField name="Branch" numFmtId="0">
      <sharedItems count="8">
        <s v="Pune"/>
        <s v="Ahmedabad"/>
        <s v="Chennai"/>
        <s v="Hyderabad"/>
        <s v="Delhi"/>
        <s v="Bengaluru"/>
        <s v="Mumbai"/>
        <s v="Kolkata"/>
      </sharedItems>
    </cacheField>
    <cacheField name="Transaction Type" numFmtId="0">
      <sharedItems count="6">
        <s v="Loan EMI"/>
        <s v="Transfer"/>
        <s v="Card Payment"/>
        <s v="Deposit"/>
        <s v="Bill Payment"/>
        <s v="Withdrawal"/>
      </sharedItems>
    </cacheField>
    <cacheField name="Category" numFmtId="0">
      <sharedItems/>
    </cacheField>
    <cacheField name="Channel" numFmtId="0">
      <sharedItems count="6">
        <s v="Net Banking"/>
        <s v="Mobile Banking"/>
        <s v="POS"/>
        <s v="UPI"/>
        <s v="ATM"/>
        <s v="Branch"/>
      </sharedItems>
    </cacheField>
    <cacheField name="Amount (INR)" numFmtId="3">
      <sharedItems containsSemiMixedTypes="0" containsString="0" containsNumber="1" containsInteger="1" minValue="470" maxValue="149730"/>
    </cacheField>
    <cacheField name="Credit/Debit" numFmtId="0">
      <sharedItems/>
    </cacheField>
    <cacheField name="Status" numFmtId="0">
      <sharedItems count="3">
        <s v="Success"/>
        <s v="Failed"/>
        <s v="Pending"/>
      </sharedItems>
    </cacheField>
    <cacheField name="Month" numFmtId="0">
      <sharedItems count="9">
        <s v="Jan"/>
        <s v="Feb"/>
        <s v="Mar"/>
        <s v="Apr"/>
        <s v="May"/>
        <s v="Jun"/>
        <s v="Jul"/>
        <s v="Aug"/>
        <s v="Sep"/>
      </sharedItems>
    </cacheField>
    <cacheField name="Weekda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TXN10001"/>
    <d v="2026-01-04T00:00:00"/>
    <s v="C1032"/>
    <s v="Rahul Singh"/>
    <s v="Salary"/>
    <x v="0"/>
    <x v="0"/>
    <s v="Home Loan"/>
    <x v="0"/>
    <n v="10000"/>
    <s v="Debit"/>
    <x v="0"/>
    <x v="0"/>
    <s v="Sun"/>
  </r>
  <r>
    <s v="TXN10002"/>
    <d v="2026-01-07T00:00:00"/>
    <s v="C1055"/>
    <s v="Pooja Iyer"/>
    <s v="Savings"/>
    <x v="1"/>
    <x v="1"/>
    <s v="Business Payment"/>
    <x v="1"/>
    <n v="11450"/>
    <s v="Debit"/>
    <x v="1"/>
    <x v="0"/>
    <s v="Wed"/>
  </r>
  <r>
    <s v="TXN10003"/>
    <d v="2026-01-08T00:00:00"/>
    <s v="C1006"/>
    <s v="Vikram Das"/>
    <s v="Savings"/>
    <x v="0"/>
    <x v="2"/>
    <s v="Shopping"/>
    <x v="2"/>
    <n v="5160"/>
    <s v="Debit"/>
    <x v="0"/>
    <x v="0"/>
    <s v="Thu"/>
  </r>
  <r>
    <s v="TXN10004"/>
    <d v="2026-01-08T00:00:00"/>
    <s v="C1036"/>
    <s v="Divya Menon"/>
    <s v="Salary"/>
    <x v="2"/>
    <x v="1"/>
    <s v="Business Payment"/>
    <x v="0"/>
    <n v="99230"/>
    <s v="Debit"/>
    <x v="0"/>
    <x v="0"/>
    <s v="Thu"/>
  </r>
  <r>
    <s v="TXN10005"/>
    <d v="2026-01-09T00:00:00"/>
    <s v="C1023"/>
    <s v="Rohit Singh"/>
    <s v="Savings"/>
    <x v="3"/>
    <x v="0"/>
    <s v="Home Loan"/>
    <x v="1"/>
    <n v="14500"/>
    <s v="Debit"/>
    <x v="0"/>
    <x v="0"/>
    <s v="Fri"/>
  </r>
  <r>
    <s v="TXN10006"/>
    <d v="2026-01-11T00:00:00"/>
    <s v="C1040"/>
    <s v="Rohit Menon"/>
    <s v="Savings"/>
    <x v="2"/>
    <x v="3"/>
    <s v="Interest Credit"/>
    <x v="1"/>
    <n v="21590"/>
    <s v="Credit"/>
    <x v="1"/>
    <x v="0"/>
    <s v="Sun"/>
  </r>
  <r>
    <s v="TXN10007"/>
    <d v="2026-01-11T00:00:00"/>
    <s v="C1025"/>
    <s v="Imran Menon"/>
    <s v="Salary"/>
    <x v="0"/>
    <x v="2"/>
    <s v="Dining"/>
    <x v="2"/>
    <n v="19140"/>
    <s v="Debit"/>
    <x v="2"/>
    <x v="0"/>
    <s v="Sun"/>
  </r>
  <r>
    <s v="TXN10008"/>
    <d v="2026-01-12T00:00:00"/>
    <s v="C1020"/>
    <s v="Nisha Reddy"/>
    <s v="Current"/>
    <x v="4"/>
    <x v="1"/>
    <s v="Rent"/>
    <x v="3"/>
    <n v="54900"/>
    <s v="Debit"/>
    <x v="0"/>
    <x v="0"/>
    <s v="Mon"/>
  </r>
  <r>
    <s v="TXN10009"/>
    <d v="2026-01-14T00:00:00"/>
    <s v="C1006"/>
    <s v="Vikram Das"/>
    <s v="Savings"/>
    <x v="0"/>
    <x v="4"/>
    <s v="Insurance Premium"/>
    <x v="0"/>
    <n v="13040"/>
    <s v="Debit"/>
    <x v="0"/>
    <x v="0"/>
    <s v="Wed"/>
  </r>
  <r>
    <s v="TXN10010"/>
    <d v="2026-01-14T00:00:00"/>
    <s v="C1039"/>
    <s v="Kavya Iyer"/>
    <s v="Salary"/>
    <x v="2"/>
    <x v="2"/>
    <s v="Dining"/>
    <x v="1"/>
    <n v="8170"/>
    <s v="Debit"/>
    <x v="0"/>
    <x v="0"/>
    <s v="Wed"/>
  </r>
  <r>
    <s v="TXN10011"/>
    <d v="2026-01-15T00:00:00"/>
    <s v="C1032"/>
    <s v="Rahul Singh"/>
    <s v="Salary"/>
    <x v="0"/>
    <x v="2"/>
    <s v="Dining"/>
    <x v="2"/>
    <n v="14730"/>
    <s v="Debit"/>
    <x v="0"/>
    <x v="0"/>
    <s v="Thu"/>
  </r>
  <r>
    <s v="TXN10012"/>
    <d v="2026-01-15T00:00:00"/>
    <s v="C1021"/>
    <s v="Manoj Patel"/>
    <s v="Salary"/>
    <x v="5"/>
    <x v="2"/>
    <s v="Shopping"/>
    <x v="1"/>
    <n v="19570"/>
    <s v="Debit"/>
    <x v="0"/>
    <x v="0"/>
    <s v="Thu"/>
  </r>
  <r>
    <s v="TXN10013"/>
    <d v="2026-01-16T00:00:00"/>
    <s v="C1010"/>
    <s v="Sneha Sharma"/>
    <s v="Savings"/>
    <x v="0"/>
    <x v="2"/>
    <s v="Groceries"/>
    <x v="1"/>
    <n v="23480"/>
    <s v="Debit"/>
    <x v="0"/>
    <x v="0"/>
    <s v="Fri"/>
  </r>
  <r>
    <s v="TXN10014"/>
    <d v="2026-01-17T00:00:00"/>
    <s v="C1052"/>
    <s v="Rahul Kumar"/>
    <s v="Savings"/>
    <x v="5"/>
    <x v="4"/>
    <s v="Electricity"/>
    <x v="3"/>
    <n v="11560"/>
    <s v="Debit"/>
    <x v="0"/>
    <x v="0"/>
    <s v="Sat"/>
  </r>
  <r>
    <s v="TXN10015"/>
    <d v="2026-01-19T00:00:00"/>
    <s v="C1040"/>
    <s v="Rohit Menon"/>
    <s v="Savings"/>
    <x v="2"/>
    <x v="3"/>
    <s v="Interest Credit"/>
    <x v="0"/>
    <n v="149630"/>
    <s v="Credit"/>
    <x v="0"/>
    <x v="0"/>
    <s v="Mon"/>
  </r>
  <r>
    <s v="TXN10016"/>
    <d v="2026-01-19T00:00:00"/>
    <s v="C1019"/>
    <s v="Suresh Sharma"/>
    <s v="Salary"/>
    <x v="4"/>
    <x v="5"/>
    <s v="Cash Withdrawal"/>
    <x v="4"/>
    <n v="35490"/>
    <s v="Debit"/>
    <x v="0"/>
    <x v="0"/>
    <s v="Mon"/>
  </r>
  <r>
    <s v="TXN10017"/>
    <d v="2026-01-19T00:00:00"/>
    <s v="C1054"/>
    <s v="Anjali Patel"/>
    <s v="Savings"/>
    <x v="1"/>
    <x v="1"/>
    <s v="Investment"/>
    <x v="1"/>
    <n v="19440"/>
    <s v="Debit"/>
    <x v="0"/>
    <x v="0"/>
    <s v="Mon"/>
  </r>
  <r>
    <s v="TXN10018"/>
    <d v="2026-01-20T00:00:00"/>
    <s v="C1019"/>
    <s v="Suresh Sharma"/>
    <s v="Salary"/>
    <x v="4"/>
    <x v="2"/>
    <s v="Travel"/>
    <x v="0"/>
    <n v="20940"/>
    <s v="Debit"/>
    <x v="0"/>
    <x v="0"/>
    <s v="Tue"/>
  </r>
  <r>
    <s v="TXN10019"/>
    <d v="2026-01-20T00:00:00"/>
    <s v="C1001"/>
    <s v="Imran Sharma"/>
    <s v="Salary"/>
    <x v="2"/>
    <x v="5"/>
    <s v="Cash Withdrawal"/>
    <x v="4"/>
    <n v="37170"/>
    <s v="Debit"/>
    <x v="0"/>
    <x v="0"/>
    <s v="Tue"/>
  </r>
  <r>
    <s v="TXN10020"/>
    <d v="2026-01-21T00:00:00"/>
    <s v="C1049"/>
    <s v="Ganesh Sharma"/>
    <s v="Savings"/>
    <x v="5"/>
    <x v="0"/>
    <s v="Personal Loan"/>
    <x v="1"/>
    <n v="26000"/>
    <s v="Debit"/>
    <x v="0"/>
    <x v="0"/>
    <s v="Wed"/>
  </r>
  <r>
    <s v="TXN10021"/>
    <d v="2026-01-21T00:00:00"/>
    <s v="C1016"/>
    <s v="Rahul Reddy"/>
    <s v="Current"/>
    <x v="6"/>
    <x v="0"/>
    <s v="Personal Loan"/>
    <x v="1"/>
    <n v="26000"/>
    <s v="Debit"/>
    <x v="0"/>
    <x v="0"/>
    <s v="Wed"/>
  </r>
  <r>
    <s v="TXN10022"/>
    <d v="2026-01-21T00:00:00"/>
    <s v="C1056"/>
    <s v="Lakshmi Singh"/>
    <s v="Savings"/>
    <x v="5"/>
    <x v="3"/>
    <s v="Interest Credit"/>
    <x v="5"/>
    <n v="110020"/>
    <s v="Credit"/>
    <x v="0"/>
    <x v="0"/>
    <s v="Wed"/>
  </r>
  <r>
    <s v="TXN10023"/>
    <d v="2026-01-22T00:00:00"/>
    <s v="C1023"/>
    <s v="Rohit Singh"/>
    <s v="Savings"/>
    <x v="3"/>
    <x v="1"/>
    <s v="Investment"/>
    <x v="3"/>
    <n v="37690"/>
    <s v="Debit"/>
    <x v="0"/>
    <x v="0"/>
    <s v="Thu"/>
  </r>
  <r>
    <s v="TXN10024"/>
    <d v="2026-01-22T00:00:00"/>
    <s v="C1053"/>
    <s v="Priya Nair"/>
    <s v="Salary"/>
    <x v="6"/>
    <x v="2"/>
    <s v="Fuel"/>
    <x v="2"/>
    <n v="1550"/>
    <s v="Debit"/>
    <x v="0"/>
    <x v="0"/>
    <s v="Thu"/>
  </r>
  <r>
    <s v="TXN10025"/>
    <d v="2026-01-23T00:00:00"/>
    <s v="C1001"/>
    <s v="Imran Sharma"/>
    <s v="Salary"/>
    <x v="2"/>
    <x v="5"/>
    <s v="Cash Withdrawal"/>
    <x v="4"/>
    <n v="25670"/>
    <s v="Debit"/>
    <x v="0"/>
    <x v="0"/>
    <s v="Fri"/>
  </r>
  <r>
    <s v="TXN10026"/>
    <d v="2026-01-23T00:00:00"/>
    <s v="C1047"/>
    <s v="Pooja Reddy"/>
    <s v="Current"/>
    <x v="3"/>
    <x v="0"/>
    <s v="Home Loan"/>
    <x v="3"/>
    <n v="26000"/>
    <s v="Debit"/>
    <x v="0"/>
    <x v="0"/>
    <s v="Fri"/>
  </r>
  <r>
    <s v="TXN10027"/>
    <d v="2026-01-24T00:00:00"/>
    <s v="C1004"/>
    <s v="Neha Kumar"/>
    <s v="Savings"/>
    <x v="2"/>
    <x v="1"/>
    <s v="Business Payment"/>
    <x v="3"/>
    <n v="94460"/>
    <s v="Debit"/>
    <x v="0"/>
    <x v="0"/>
    <s v="Sat"/>
  </r>
  <r>
    <s v="TXN10028"/>
    <d v="2026-01-24T00:00:00"/>
    <s v="C1021"/>
    <s v="Manoj Patel"/>
    <s v="Salary"/>
    <x v="5"/>
    <x v="0"/>
    <s v="Home Loan"/>
    <x v="1"/>
    <n v="19500"/>
    <s v="Debit"/>
    <x v="0"/>
    <x v="0"/>
    <s v="Sat"/>
  </r>
  <r>
    <s v="TXN10029"/>
    <d v="2026-01-24T00:00:00"/>
    <s v="C1003"/>
    <s v="Nisha Sharma"/>
    <s v="Salary"/>
    <x v="6"/>
    <x v="5"/>
    <s v="Cash Withdrawal"/>
    <x v="5"/>
    <n v="5090"/>
    <s v="Debit"/>
    <x v="0"/>
    <x v="0"/>
    <s v="Sat"/>
  </r>
  <r>
    <s v="TXN10030"/>
    <d v="2026-01-26T00:00:00"/>
    <s v="C1019"/>
    <s v="Suresh Sharma"/>
    <s v="Salary"/>
    <x v="4"/>
    <x v="2"/>
    <s v="Shopping"/>
    <x v="1"/>
    <n v="12660"/>
    <s v="Debit"/>
    <x v="1"/>
    <x v="0"/>
    <s v="Mon"/>
  </r>
  <r>
    <s v="TXN10031"/>
    <d v="2026-01-27T00:00:00"/>
    <s v="C1014"/>
    <s v="Swathi Nair"/>
    <s v="Salary"/>
    <x v="5"/>
    <x v="5"/>
    <s v="Cash Withdrawal"/>
    <x v="4"/>
    <n v="37140"/>
    <s v="Debit"/>
    <x v="0"/>
    <x v="0"/>
    <s v="Tue"/>
  </r>
  <r>
    <s v="TXN10032"/>
    <d v="2026-01-28T00:00:00"/>
    <s v="C1026"/>
    <s v="Ganesh Iyer"/>
    <s v="Savings"/>
    <x v="3"/>
    <x v="1"/>
    <s v="Rent"/>
    <x v="0"/>
    <n v="39230"/>
    <s v="Debit"/>
    <x v="0"/>
    <x v="0"/>
    <s v="Wed"/>
  </r>
  <r>
    <s v="TXN10033"/>
    <d v="2026-01-30T00:00:00"/>
    <s v="C1004"/>
    <s v="Neha Kumar"/>
    <s v="Savings"/>
    <x v="2"/>
    <x v="4"/>
    <s v="Electricity"/>
    <x v="3"/>
    <n v="13810"/>
    <s v="Debit"/>
    <x v="0"/>
    <x v="0"/>
    <s v="Fri"/>
  </r>
  <r>
    <s v="TXN10034"/>
    <d v="2026-01-30T00:00:00"/>
    <s v="C1036"/>
    <s v="Divya Menon"/>
    <s v="Salary"/>
    <x v="2"/>
    <x v="1"/>
    <s v="Family Transfer"/>
    <x v="1"/>
    <n v="72600"/>
    <s v="Debit"/>
    <x v="0"/>
    <x v="0"/>
    <s v="Fri"/>
  </r>
  <r>
    <s v="TXN10035"/>
    <d v="2026-01-31T00:00:00"/>
    <s v="C1011"/>
    <s v="Kavya Nair"/>
    <s v="Savings"/>
    <x v="3"/>
    <x v="0"/>
    <s v="Personal Loan"/>
    <x v="3"/>
    <n v="35000"/>
    <s v="Debit"/>
    <x v="0"/>
    <x v="0"/>
    <s v="Sat"/>
  </r>
  <r>
    <s v="TXN10036"/>
    <d v="2026-02-01T00:00:00"/>
    <s v="C1031"/>
    <s v="Imran Iyer"/>
    <s v="Salary"/>
    <x v="0"/>
    <x v="2"/>
    <s v="Travel"/>
    <x v="0"/>
    <n v="20650"/>
    <s v="Debit"/>
    <x v="0"/>
    <x v="1"/>
    <s v="Sun"/>
  </r>
  <r>
    <s v="TXN10037"/>
    <d v="2026-02-01T00:00:00"/>
    <s v="C1046"/>
    <s v="Aditya Gupta"/>
    <s v="Savings"/>
    <x v="0"/>
    <x v="3"/>
    <s v="Interest Credit"/>
    <x v="0"/>
    <n v="149730"/>
    <s v="Credit"/>
    <x v="0"/>
    <x v="1"/>
    <s v="Sun"/>
  </r>
  <r>
    <s v="TXN10038"/>
    <d v="2026-02-01T00:00:00"/>
    <s v="C1043"/>
    <s v="Nisha Menon"/>
    <s v="Salary"/>
    <x v="6"/>
    <x v="3"/>
    <s v="Cheque Deposit"/>
    <x v="0"/>
    <n v="104480"/>
    <s v="Credit"/>
    <x v="0"/>
    <x v="1"/>
    <s v="Sun"/>
  </r>
  <r>
    <s v="TXN10039"/>
    <d v="2026-02-02T00:00:00"/>
    <s v="C1008"/>
    <s v="Deepak Iyer"/>
    <s v="Current"/>
    <x v="0"/>
    <x v="2"/>
    <s v="Fuel"/>
    <x v="0"/>
    <n v="17980"/>
    <s v="Debit"/>
    <x v="0"/>
    <x v="1"/>
    <s v="Mon"/>
  </r>
  <r>
    <s v="TXN10040"/>
    <d v="2026-02-04T00:00:00"/>
    <s v="C1006"/>
    <s v="Vikram Das"/>
    <s v="Savings"/>
    <x v="0"/>
    <x v="2"/>
    <s v="Dining"/>
    <x v="2"/>
    <n v="13070"/>
    <s v="Debit"/>
    <x v="0"/>
    <x v="1"/>
    <s v="Wed"/>
  </r>
  <r>
    <s v="TXN10041"/>
    <d v="2026-02-07T00:00:00"/>
    <s v="C1001"/>
    <s v="Imran Sharma"/>
    <s v="Salary"/>
    <x v="2"/>
    <x v="1"/>
    <s v="Rent"/>
    <x v="3"/>
    <n v="99610"/>
    <s v="Debit"/>
    <x v="0"/>
    <x v="1"/>
    <s v="Sat"/>
  </r>
  <r>
    <s v="TXN10042"/>
    <d v="2026-02-07T00:00:00"/>
    <s v="C1030"/>
    <s v="Deepak Kumar"/>
    <s v="Savings"/>
    <x v="6"/>
    <x v="1"/>
    <s v="Business Payment"/>
    <x v="3"/>
    <n v="57990"/>
    <s v="Debit"/>
    <x v="0"/>
    <x v="1"/>
    <s v="Sat"/>
  </r>
  <r>
    <s v="TXN10043"/>
    <d v="2026-02-07T00:00:00"/>
    <s v="C1058"/>
    <s v="Neha Menon"/>
    <s v="Salary"/>
    <x v="2"/>
    <x v="3"/>
    <s v="Cheque Deposit"/>
    <x v="4"/>
    <n v="23300"/>
    <s v="Credit"/>
    <x v="0"/>
    <x v="1"/>
    <s v="Sat"/>
  </r>
  <r>
    <s v="TXN10044"/>
    <d v="2026-02-07T00:00:00"/>
    <s v="C1009"/>
    <s v="Suresh Iyer"/>
    <s v="Current"/>
    <x v="5"/>
    <x v="2"/>
    <s v="Fuel"/>
    <x v="1"/>
    <n v="2410"/>
    <s v="Debit"/>
    <x v="0"/>
    <x v="1"/>
    <s v="Sat"/>
  </r>
  <r>
    <s v="TXN10045"/>
    <d v="2026-02-07T00:00:00"/>
    <s v="C1025"/>
    <s v="Imran Menon"/>
    <s v="Salary"/>
    <x v="0"/>
    <x v="1"/>
    <s v="Family Transfer"/>
    <x v="3"/>
    <n v="28690"/>
    <s v="Debit"/>
    <x v="2"/>
    <x v="1"/>
    <s v="Sat"/>
  </r>
  <r>
    <s v="TXN10046"/>
    <d v="2026-02-08T00:00:00"/>
    <s v="C1029"/>
    <s v="Anjali Iyer"/>
    <s v="Savings"/>
    <x v="1"/>
    <x v="2"/>
    <s v="Fuel"/>
    <x v="1"/>
    <n v="3120"/>
    <s v="Debit"/>
    <x v="0"/>
    <x v="1"/>
    <s v="Sun"/>
  </r>
  <r>
    <s v="TXN10047"/>
    <d v="2026-02-08T00:00:00"/>
    <s v="C1031"/>
    <s v="Imran Iyer"/>
    <s v="Salary"/>
    <x v="0"/>
    <x v="0"/>
    <s v="Car Loan"/>
    <x v="1"/>
    <n v="18500"/>
    <s v="Debit"/>
    <x v="0"/>
    <x v="1"/>
    <s v="Sun"/>
  </r>
  <r>
    <s v="TXN10048"/>
    <d v="2026-02-08T00:00:00"/>
    <s v="C1043"/>
    <s v="Nisha Menon"/>
    <s v="Salary"/>
    <x v="6"/>
    <x v="4"/>
    <s v="Mobile Recharge"/>
    <x v="1"/>
    <n v="7840"/>
    <s v="Debit"/>
    <x v="0"/>
    <x v="1"/>
    <s v="Sun"/>
  </r>
  <r>
    <s v="TXN10049"/>
    <d v="2026-02-09T00:00:00"/>
    <s v="C1059"/>
    <s v="Imran Sharma"/>
    <s v="Current"/>
    <x v="2"/>
    <x v="4"/>
    <s v="Mobile Recharge"/>
    <x v="0"/>
    <n v="12480"/>
    <s v="Debit"/>
    <x v="0"/>
    <x v="1"/>
    <s v="Mon"/>
  </r>
  <r>
    <s v="TXN10050"/>
    <d v="2026-02-10T00:00:00"/>
    <s v="C1017"/>
    <s v="Suresh Menon"/>
    <s v="Savings"/>
    <x v="7"/>
    <x v="5"/>
    <s v="Cash Withdrawal"/>
    <x v="5"/>
    <n v="5440"/>
    <s v="Debit"/>
    <x v="0"/>
    <x v="1"/>
    <s v="Tue"/>
  </r>
  <r>
    <s v="TXN10051"/>
    <d v="2026-02-11T00:00:00"/>
    <s v="C1027"/>
    <s v="Anjali Das"/>
    <s v="Salary"/>
    <x v="3"/>
    <x v="4"/>
    <s v="Mobile Recharge"/>
    <x v="3"/>
    <n v="7980"/>
    <s v="Debit"/>
    <x v="1"/>
    <x v="1"/>
    <s v="Wed"/>
  </r>
  <r>
    <s v="TXN10052"/>
    <d v="2026-02-11T00:00:00"/>
    <s v="C1055"/>
    <s v="Pooja Iyer"/>
    <s v="Savings"/>
    <x v="1"/>
    <x v="5"/>
    <s v="Cash Withdrawal"/>
    <x v="5"/>
    <n v="38190"/>
    <s v="Debit"/>
    <x v="0"/>
    <x v="1"/>
    <s v="Wed"/>
  </r>
  <r>
    <s v="TXN10053"/>
    <d v="2026-02-11T00:00:00"/>
    <s v="C1018"/>
    <s v="Kavya Nair"/>
    <s v="Salary"/>
    <x v="5"/>
    <x v="1"/>
    <s v="Investment"/>
    <x v="1"/>
    <n v="49080"/>
    <s v="Debit"/>
    <x v="0"/>
    <x v="1"/>
    <s v="Wed"/>
  </r>
  <r>
    <s v="TXN10054"/>
    <d v="2026-02-13T00:00:00"/>
    <s v="C1019"/>
    <s v="Suresh Sharma"/>
    <s v="Salary"/>
    <x v="4"/>
    <x v="1"/>
    <s v="Rent"/>
    <x v="3"/>
    <n v="62310"/>
    <s v="Debit"/>
    <x v="0"/>
    <x v="1"/>
    <s v="Fri"/>
  </r>
  <r>
    <s v="TXN10055"/>
    <d v="2026-02-13T00:00:00"/>
    <s v="C1034"/>
    <s v="Arun Sharma"/>
    <s v="Salary"/>
    <x v="3"/>
    <x v="2"/>
    <s v="Fuel"/>
    <x v="2"/>
    <n v="28610"/>
    <s v="Debit"/>
    <x v="0"/>
    <x v="1"/>
    <s v="Fri"/>
  </r>
  <r>
    <s v="TXN10056"/>
    <d v="2026-02-16T00:00:00"/>
    <s v="C1015"/>
    <s v="Rahul Kumar"/>
    <s v="Current"/>
    <x v="5"/>
    <x v="2"/>
    <s v="Dining"/>
    <x v="1"/>
    <n v="17700"/>
    <s v="Debit"/>
    <x v="0"/>
    <x v="1"/>
    <s v="Mon"/>
  </r>
  <r>
    <s v="TXN10057"/>
    <d v="2026-02-16T00:00:00"/>
    <s v="C1043"/>
    <s v="Nisha Menon"/>
    <s v="Salary"/>
    <x v="6"/>
    <x v="5"/>
    <s v="Cash Withdrawal"/>
    <x v="4"/>
    <n v="2500"/>
    <s v="Debit"/>
    <x v="0"/>
    <x v="1"/>
    <s v="Mon"/>
  </r>
  <r>
    <s v="TXN10058"/>
    <d v="2026-02-16T00:00:00"/>
    <s v="C1048"/>
    <s v="Farah Nair"/>
    <s v="Salary"/>
    <x v="1"/>
    <x v="1"/>
    <s v="Investment"/>
    <x v="1"/>
    <n v="42560"/>
    <s v="Debit"/>
    <x v="0"/>
    <x v="1"/>
    <s v="Mon"/>
  </r>
  <r>
    <s v="TXN10059"/>
    <d v="2026-02-16T00:00:00"/>
    <s v="C1059"/>
    <s v="Imran Sharma"/>
    <s v="Current"/>
    <x v="2"/>
    <x v="5"/>
    <s v="Cash Withdrawal"/>
    <x v="5"/>
    <n v="35440"/>
    <s v="Debit"/>
    <x v="1"/>
    <x v="1"/>
    <s v="Mon"/>
  </r>
  <r>
    <s v="TXN10060"/>
    <d v="2026-02-16T00:00:00"/>
    <s v="C1058"/>
    <s v="Neha Menon"/>
    <s v="Salary"/>
    <x v="2"/>
    <x v="1"/>
    <s v="Business Payment"/>
    <x v="0"/>
    <n v="45890"/>
    <s v="Debit"/>
    <x v="0"/>
    <x v="1"/>
    <s v="Mon"/>
  </r>
  <r>
    <s v="TXN10061"/>
    <d v="2026-02-17T00:00:00"/>
    <s v="C1035"/>
    <s v="Rohit Sharma"/>
    <s v="Current"/>
    <x v="3"/>
    <x v="0"/>
    <s v="Car Loan"/>
    <x v="0"/>
    <n v="7000"/>
    <s v="Debit"/>
    <x v="0"/>
    <x v="1"/>
    <s v="Tue"/>
  </r>
  <r>
    <s v="TXN10062"/>
    <d v="2026-02-19T00:00:00"/>
    <s v="C1058"/>
    <s v="Neha Menon"/>
    <s v="Salary"/>
    <x v="2"/>
    <x v="4"/>
    <s v="Insurance Premium"/>
    <x v="0"/>
    <n v="4840"/>
    <s v="Debit"/>
    <x v="0"/>
    <x v="1"/>
    <s v="Thu"/>
  </r>
  <r>
    <s v="TXN10063"/>
    <d v="2026-02-20T00:00:00"/>
    <s v="C1049"/>
    <s v="Ganesh Sharma"/>
    <s v="Savings"/>
    <x v="5"/>
    <x v="5"/>
    <s v="Cash Withdrawal"/>
    <x v="4"/>
    <n v="10950"/>
    <s v="Debit"/>
    <x v="0"/>
    <x v="1"/>
    <s v="Fri"/>
  </r>
  <r>
    <s v="TXN10064"/>
    <d v="2026-02-20T00:00:00"/>
    <s v="C1049"/>
    <s v="Ganesh Sharma"/>
    <s v="Savings"/>
    <x v="5"/>
    <x v="4"/>
    <s v="Electricity"/>
    <x v="0"/>
    <n v="6820"/>
    <s v="Debit"/>
    <x v="0"/>
    <x v="1"/>
    <s v="Fri"/>
  </r>
  <r>
    <s v="TXN10065"/>
    <d v="2026-02-21T00:00:00"/>
    <s v="C1034"/>
    <s v="Arun Sharma"/>
    <s v="Salary"/>
    <x v="3"/>
    <x v="2"/>
    <s v="Shopping"/>
    <x v="2"/>
    <n v="21730"/>
    <s v="Debit"/>
    <x v="0"/>
    <x v="1"/>
    <s v="Sat"/>
  </r>
  <r>
    <s v="TXN10066"/>
    <d v="2026-02-22T00:00:00"/>
    <s v="C1023"/>
    <s v="Rohit Singh"/>
    <s v="Savings"/>
    <x v="3"/>
    <x v="0"/>
    <s v="Home Loan"/>
    <x v="1"/>
    <n v="44000"/>
    <s v="Debit"/>
    <x v="0"/>
    <x v="1"/>
    <s v="Sun"/>
  </r>
  <r>
    <s v="TXN10067"/>
    <d v="2026-02-22T00:00:00"/>
    <s v="C1056"/>
    <s v="Lakshmi Singh"/>
    <s v="Savings"/>
    <x v="5"/>
    <x v="3"/>
    <s v="Salary Credit"/>
    <x v="0"/>
    <n v="68870"/>
    <s v="Credit"/>
    <x v="0"/>
    <x v="1"/>
    <s v="Sun"/>
  </r>
  <r>
    <s v="TXN10068"/>
    <d v="2026-02-23T00:00:00"/>
    <s v="C1037"/>
    <s v="Nisha Patel"/>
    <s v="Salary"/>
    <x v="4"/>
    <x v="1"/>
    <s v="Family Transfer"/>
    <x v="0"/>
    <n v="66020"/>
    <s v="Debit"/>
    <x v="0"/>
    <x v="1"/>
    <s v="Mon"/>
  </r>
  <r>
    <s v="TXN10069"/>
    <d v="2026-02-25T00:00:00"/>
    <s v="C1039"/>
    <s v="Kavya Iyer"/>
    <s v="Salary"/>
    <x v="2"/>
    <x v="1"/>
    <s v="Family Transfer"/>
    <x v="3"/>
    <n v="78860"/>
    <s v="Debit"/>
    <x v="0"/>
    <x v="1"/>
    <s v="Wed"/>
  </r>
  <r>
    <s v="TXN10070"/>
    <d v="2026-02-25T00:00:00"/>
    <s v="C1044"/>
    <s v="Deepak Iyer"/>
    <s v="Salary"/>
    <x v="4"/>
    <x v="5"/>
    <s v="Cash Withdrawal"/>
    <x v="4"/>
    <n v="24970"/>
    <s v="Debit"/>
    <x v="1"/>
    <x v="1"/>
    <s v="Wed"/>
  </r>
  <r>
    <s v="TXN10071"/>
    <d v="2026-02-25T00:00:00"/>
    <s v="C1040"/>
    <s v="Rohit Menon"/>
    <s v="Savings"/>
    <x v="2"/>
    <x v="0"/>
    <s v="Car Loan"/>
    <x v="0"/>
    <n v="14500"/>
    <s v="Debit"/>
    <x v="0"/>
    <x v="1"/>
    <s v="Wed"/>
  </r>
  <r>
    <s v="TXN10072"/>
    <d v="2026-02-26T00:00:00"/>
    <s v="C1050"/>
    <s v="Rahul Nair"/>
    <s v="Salary"/>
    <x v="2"/>
    <x v="5"/>
    <s v="Cash Withdrawal"/>
    <x v="5"/>
    <n v="5310"/>
    <s v="Debit"/>
    <x v="0"/>
    <x v="1"/>
    <s v="Thu"/>
  </r>
  <r>
    <s v="TXN10073"/>
    <d v="2026-02-27T00:00:00"/>
    <s v="C1022"/>
    <s v="Rohit Kumar"/>
    <s v="Savings"/>
    <x v="5"/>
    <x v="3"/>
    <s v="Cheque Deposit"/>
    <x v="0"/>
    <n v="109200"/>
    <s v="Credit"/>
    <x v="0"/>
    <x v="1"/>
    <s v="Fri"/>
  </r>
  <r>
    <s v="TXN10074"/>
    <d v="2026-02-28T00:00:00"/>
    <s v="C1035"/>
    <s v="Rohit Sharma"/>
    <s v="Current"/>
    <x v="3"/>
    <x v="5"/>
    <s v="Cash Withdrawal"/>
    <x v="4"/>
    <n v="36380"/>
    <s v="Debit"/>
    <x v="0"/>
    <x v="1"/>
    <s v="Sat"/>
  </r>
  <r>
    <s v="TXN10075"/>
    <d v="2026-03-01T00:00:00"/>
    <s v="C1057"/>
    <s v="Sneha Singh"/>
    <s v="Current"/>
    <x v="7"/>
    <x v="2"/>
    <s v="Groceries"/>
    <x v="2"/>
    <n v="17500"/>
    <s v="Debit"/>
    <x v="2"/>
    <x v="2"/>
    <s v="Sun"/>
  </r>
  <r>
    <s v="TXN10076"/>
    <d v="2026-03-01T00:00:00"/>
    <s v="C1050"/>
    <s v="Rahul Nair"/>
    <s v="Salary"/>
    <x v="2"/>
    <x v="1"/>
    <s v="Business Payment"/>
    <x v="3"/>
    <n v="82670"/>
    <s v="Debit"/>
    <x v="0"/>
    <x v="2"/>
    <s v="Sun"/>
  </r>
  <r>
    <s v="TXN10077"/>
    <d v="2026-03-02T00:00:00"/>
    <s v="C1042"/>
    <s v="Anjali Gupta"/>
    <s v="Savings"/>
    <x v="6"/>
    <x v="2"/>
    <s v="Dining"/>
    <x v="0"/>
    <n v="27990"/>
    <s v="Debit"/>
    <x v="0"/>
    <x v="2"/>
    <s v="Mon"/>
  </r>
  <r>
    <s v="TXN10078"/>
    <d v="2026-03-02T00:00:00"/>
    <s v="C1017"/>
    <s v="Suresh Menon"/>
    <s v="Savings"/>
    <x v="7"/>
    <x v="0"/>
    <s v="Personal Loan"/>
    <x v="3"/>
    <n v="23000"/>
    <s v="Debit"/>
    <x v="2"/>
    <x v="2"/>
    <s v="Mon"/>
  </r>
  <r>
    <s v="TXN10079"/>
    <d v="2026-03-02T00:00:00"/>
    <s v="C1041"/>
    <s v="Kavya Patel"/>
    <s v="Savings"/>
    <x v="5"/>
    <x v="2"/>
    <s v="Shopping"/>
    <x v="0"/>
    <n v="11150"/>
    <s v="Debit"/>
    <x v="0"/>
    <x v="2"/>
    <s v="Mon"/>
  </r>
  <r>
    <s v="TXN10080"/>
    <d v="2026-03-02T00:00:00"/>
    <s v="C1048"/>
    <s v="Farah Nair"/>
    <s v="Salary"/>
    <x v="1"/>
    <x v="2"/>
    <s v="Shopping"/>
    <x v="0"/>
    <n v="27450"/>
    <s v="Debit"/>
    <x v="0"/>
    <x v="2"/>
    <s v="Mon"/>
  </r>
  <r>
    <s v="TXN10081"/>
    <d v="2026-03-04T00:00:00"/>
    <s v="C1002"/>
    <s v="Suresh Reddy"/>
    <s v="Savings"/>
    <x v="5"/>
    <x v="2"/>
    <s v="Dining"/>
    <x v="1"/>
    <n v="24020"/>
    <s v="Debit"/>
    <x v="0"/>
    <x v="2"/>
    <s v="Wed"/>
  </r>
  <r>
    <s v="TXN10082"/>
    <d v="2026-03-05T00:00:00"/>
    <s v="C1030"/>
    <s v="Deepak Kumar"/>
    <s v="Savings"/>
    <x v="6"/>
    <x v="1"/>
    <s v="Investment"/>
    <x v="3"/>
    <n v="67560"/>
    <s v="Debit"/>
    <x v="0"/>
    <x v="2"/>
    <s v="Thu"/>
  </r>
  <r>
    <s v="TXN10083"/>
    <d v="2026-03-06T00:00:00"/>
    <s v="C1033"/>
    <s v="Ganesh Das"/>
    <s v="Salary"/>
    <x v="3"/>
    <x v="2"/>
    <s v="Travel"/>
    <x v="0"/>
    <n v="26120"/>
    <s v="Debit"/>
    <x v="0"/>
    <x v="2"/>
    <s v="Fri"/>
  </r>
  <r>
    <s v="TXN10084"/>
    <d v="2026-03-07T00:00:00"/>
    <s v="C1043"/>
    <s v="Nisha Menon"/>
    <s v="Salary"/>
    <x v="6"/>
    <x v="0"/>
    <s v="Home Loan"/>
    <x v="3"/>
    <n v="45000"/>
    <s v="Debit"/>
    <x v="0"/>
    <x v="2"/>
    <s v="Sat"/>
  </r>
  <r>
    <s v="TXN10085"/>
    <d v="2026-03-07T00:00:00"/>
    <s v="C1007"/>
    <s v="Ganesh Gupta"/>
    <s v="Savings"/>
    <x v="3"/>
    <x v="1"/>
    <s v="Rent"/>
    <x v="1"/>
    <n v="56230"/>
    <s v="Debit"/>
    <x v="0"/>
    <x v="2"/>
    <s v="Sat"/>
  </r>
  <r>
    <s v="TXN10086"/>
    <d v="2026-03-08T00:00:00"/>
    <s v="C1036"/>
    <s v="Divya Menon"/>
    <s v="Salary"/>
    <x v="2"/>
    <x v="3"/>
    <s v="Cheque Deposit"/>
    <x v="5"/>
    <n v="52800"/>
    <s v="Credit"/>
    <x v="0"/>
    <x v="2"/>
    <s v="Sun"/>
  </r>
  <r>
    <s v="TXN10087"/>
    <d v="2026-03-08T00:00:00"/>
    <s v="C1039"/>
    <s v="Kavya Iyer"/>
    <s v="Salary"/>
    <x v="2"/>
    <x v="0"/>
    <s v="Personal Loan"/>
    <x v="0"/>
    <n v="17500"/>
    <s v="Debit"/>
    <x v="0"/>
    <x v="2"/>
    <s v="Sun"/>
  </r>
  <r>
    <s v="TXN10088"/>
    <d v="2026-03-09T00:00:00"/>
    <s v="C1006"/>
    <s v="Vikram Das"/>
    <s v="Savings"/>
    <x v="0"/>
    <x v="2"/>
    <s v="Shopping"/>
    <x v="0"/>
    <n v="22470"/>
    <s v="Debit"/>
    <x v="0"/>
    <x v="2"/>
    <s v="Mon"/>
  </r>
  <r>
    <s v="TXN10089"/>
    <d v="2026-03-09T00:00:00"/>
    <s v="C1039"/>
    <s v="Kavya Iyer"/>
    <s v="Salary"/>
    <x v="2"/>
    <x v="1"/>
    <s v="Rent"/>
    <x v="0"/>
    <n v="18900"/>
    <s v="Debit"/>
    <x v="0"/>
    <x v="2"/>
    <s v="Mon"/>
  </r>
  <r>
    <s v="TXN10090"/>
    <d v="2026-03-12T00:00:00"/>
    <s v="C1001"/>
    <s v="Imran Sharma"/>
    <s v="Salary"/>
    <x v="2"/>
    <x v="2"/>
    <s v="Travel"/>
    <x v="2"/>
    <n v="12330"/>
    <s v="Debit"/>
    <x v="1"/>
    <x v="2"/>
    <s v="Thu"/>
  </r>
  <r>
    <s v="TXN10091"/>
    <d v="2026-03-13T00:00:00"/>
    <s v="C1033"/>
    <s v="Ganesh Das"/>
    <s v="Salary"/>
    <x v="3"/>
    <x v="2"/>
    <s v="Dining"/>
    <x v="2"/>
    <n v="24510"/>
    <s v="Debit"/>
    <x v="0"/>
    <x v="2"/>
    <s v="Fri"/>
  </r>
  <r>
    <s v="TXN10092"/>
    <d v="2026-03-15T00:00:00"/>
    <s v="C1052"/>
    <s v="Rahul Kumar"/>
    <s v="Savings"/>
    <x v="5"/>
    <x v="1"/>
    <s v="Rent"/>
    <x v="0"/>
    <n v="56680"/>
    <s v="Debit"/>
    <x v="1"/>
    <x v="2"/>
    <s v="Sun"/>
  </r>
  <r>
    <s v="TXN10093"/>
    <d v="2026-03-16T00:00:00"/>
    <s v="C1019"/>
    <s v="Suresh Sharma"/>
    <s v="Salary"/>
    <x v="4"/>
    <x v="3"/>
    <s v="Cheque Deposit"/>
    <x v="4"/>
    <n v="55220"/>
    <s v="Credit"/>
    <x v="0"/>
    <x v="2"/>
    <s v="Mon"/>
  </r>
  <r>
    <s v="TXN10094"/>
    <d v="2026-03-17T00:00:00"/>
    <s v="C1028"/>
    <s v="Ramesh Singh"/>
    <s v="Current"/>
    <x v="0"/>
    <x v="3"/>
    <s v="Cash Deposit"/>
    <x v="5"/>
    <n v="135340"/>
    <s v="Credit"/>
    <x v="0"/>
    <x v="2"/>
    <s v="Tue"/>
  </r>
  <r>
    <s v="TXN10095"/>
    <d v="2026-03-18T00:00:00"/>
    <s v="C1011"/>
    <s v="Kavya Nair"/>
    <s v="Savings"/>
    <x v="3"/>
    <x v="5"/>
    <s v="Cash Withdrawal"/>
    <x v="5"/>
    <n v="5090"/>
    <s v="Debit"/>
    <x v="0"/>
    <x v="2"/>
    <s v="Wed"/>
  </r>
  <r>
    <s v="TXN10096"/>
    <d v="2026-03-19T00:00:00"/>
    <s v="C1010"/>
    <s v="Sneha Sharma"/>
    <s v="Savings"/>
    <x v="0"/>
    <x v="2"/>
    <s v="Fuel"/>
    <x v="0"/>
    <n v="2740"/>
    <s v="Debit"/>
    <x v="0"/>
    <x v="2"/>
    <s v="Thu"/>
  </r>
  <r>
    <s v="TXN10097"/>
    <d v="2026-03-19T00:00:00"/>
    <s v="C1004"/>
    <s v="Neha Kumar"/>
    <s v="Savings"/>
    <x v="2"/>
    <x v="1"/>
    <s v="Rent"/>
    <x v="1"/>
    <n v="98260"/>
    <s v="Debit"/>
    <x v="0"/>
    <x v="2"/>
    <s v="Thu"/>
  </r>
  <r>
    <s v="TXN10098"/>
    <d v="2026-03-20T00:00:00"/>
    <s v="C1028"/>
    <s v="Ramesh Singh"/>
    <s v="Current"/>
    <x v="0"/>
    <x v="3"/>
    <s v="Interest Credit"/>
    <x v="1"/>
    <n v="44160"/>
    <s v="Credit"/>
    <x v="0"/>
    <x v="2"/>
    <s v="Fri"/>
  </r>
  <r>
    <s v="TXN10099"/>
    <d v="2026-03-21T00:00:00"/>
    <s v="C1013"/>
    <s v="Rahul Das"/>
    <s v="Salary"/>
    <x v="3"/>
    <x v="5"/>
    <s v="Cash Withdrawal"/>
    <x v="4"/>
    <n v="23380"/>
    <s v="Debit"/>
    <x v="0"/>
    <x v="2"/>
    <s v="Sat"/>
  </r>
  <r>
    <s v="TXN10100"/>
    <d v="2026-03-22T00:00:00"/>
    <s v="C1046"/>
    <s v="Aditya Gupta"/>
    <s v="Savings"/>
    <x v="0"/>
    <x v="0"/>
    <s v="Car Loan"/>
    <x v="3"/>
    <n v="30500"/>
    <s v="Debit"/>
    <x v="0"/>
    <x v="2"/>
    <s v="Sun"/>
  </r>
  <r>
    <s v="TXN10101"/>
    <d v="2026-03-22T00:00:00"/>
    <s v="C1029"/>
    <s v="Anjali Iyer"/>
    <s v="Savings"/>
    <x v="1"/>
    <x v="1"/>
    <s v="Investment"/>
    <x v="1"/>
    <n v="21200"/>
    <s v="Debit"/>
    <x v="0"/>
    <x v="2"/>
    <s v="Sun"/>
  </r>
  <r>
    <s v="TXN10102"/>
    <d v="2026-03-23T00:00:00"/>
    <s v="C1048"/>
    <s v="Farah Nair"/>
    <s v="Salary"/>
    <x v="1"/>
    <x v="2"/>
    <s v="Dining"/>
    <x v="0"/>
    <n v="7920"/>
    <s v="Debit"/>
    <x v="0"/>
    <x v="2"/>
    <s v="Mon"/>
  </r>
  <r>
    <s v="TXN10103"/>
    <d v="2026-03-25T00:00:00"/>
    <s v="C1052"/>
    <s v="Rahul Kumar"/>
    <s v="Savings"/>
    <x v="5"/>
    <x v="2"/>
    <s v="Dining"/>
    <x v="0"/>
    <n v="940"/>
    <s v="Debit"/>
    <x v="0"/>
    <x v="2"/>
    <s v="Wed"/>
  </r>
  <r>
    <s v="TXN10104"/>
    <d v="2026-03-25T00:00:00"/>
    <s v="C1020"/>
    <s v="Nisha Reddy"/>
    <s v="Current"/>
    <x v="4"/>
    <x v="3"/>
    <s v="Interest Credit"/>
    <x v="0"/>
    <n v="88490"/>
    <s v="Credit"/>
    <x v="0"/>
    <x v="2"/>
    <s v="Wed"/>
  </r>
  <r>
    <s v="TXN10105"/>
    <d v="2026-03-25T00:00:00"/>
    <s v="C1026"/>
    <s v="Ganesh Iyer"/>
    <s v="Savings"/>
    <x v="3"/>
    <x v="2"/>
    <s v="Fuel"/>
    <x v="1"/>
    <n v="25310"/>
    <s v="Debit"/>
    <x v="0"/>
    <x v="2"/>
    <s v="Wed"/>
  </r>
  <r>
    <s v="TXN10106"/>
    <d v="2026-03-26T00:00:00"/>
    <s v="C1054"/>
    <s v="Anjali Patel"/>
    <s v="Savings"/>
    <x v="1"/>
    <x v="1"/>
    <s v="Business Payment"/>
    <x v="0"/>
    <n v="98090"/>
    <s v="Debit"/>
    <x v="0"/>
    <x v="2"/>
    <s v="Thu"/>
  </r>
  <r>
    <s v="TXN10107"/>
    <d v="2026-03-26T00:00:00"/>
    <s v="C1011"/>
    <s v="Kavya Nair"/>
    <s v="Savings"/>
    <x v="3"/>
    <x v="5"/>
    <s v="Cash Withdrawal"/>
    <x v="4"/>
    <n v="14170"/>
    <s v="Debit"/>
    <x v="1"/>
    <x v="2"/>
    <s v="Thu"/>
  </r>
  <r>
    <s v="TXN10108"/>
    <d v="2026-03-30T00:00:00"/>
    <s v="C1036"/>
    <s v="Divya Menon"/>
    <s v="Salary"/>
    <x v="2"/>
    <x v="3"/>
    <s v="Salary Credit"/>
    <x v="0"/>
    <n v="104960"/>
    <s v="Credit"/>
    <x v="0"/>
    <x v="2"/>
    <s v="Mon"/>
  </r>
  <r>
    <s v="TXN10109"/>
    <d v="2026-04-01T00:00:00"/>
    <s v="C1050"/>
    <s v="Rahul Nair"/>
    <s v="Salary"/>
    <x v="2"/>
    <x v="4"/>
    <s v="Water &amp; Gas"/>
    <x v="1"/>
    <n v="11390"/>
    <s v="Debit"/>
    <x v="0"/>
    <x v="3"/>
    <s v="Wed"/>
  </r>
  <r>
    <s v="TXN10110"/>
    <d v="2026-04-03T00:00:00"/>
    <s v="C1038"/>
    <s v="Sneha Patel"/>
    <s v="Savings"/>
    <x v="5"/>
    <x v="1"/>
    <s v="Business Payment"/>
    <x v="1"/>
    <n v="96940"/>
    <s v="Debit"/>
    <x v="0"/>
    <x v="3"/>
    <s v="Fri"/>
  </r>
  <r>
    <s v="TXN10111"/>
    <d v="2026-04-06T00:00:00"/>
    <s v="C1032"/>
    <s v="Rahul Singh"/>
    <s v="Salary"/>
    <x v="0"/>
    <x v="4"/>
    <s v="Electricity"/>
    <x v="1"/>
    <n v="13890"/>
    <s v="Debit"/>
    <x v="0"/>
    <x v="3"/>
    <s v="Mon"/>
  </r>
  <r>
    <s v="TXN10112"/>
    <d v="2026-04-08T00:00:00"/>
    <s v="C1006"/>
    <s v="Vikram Das"/>
    <s v="Savings"/>
    <x v="0"/>
    <x v="5"/>
    <s v="Cash Withdrawal"/>
    <x v="5"/>
    <n v="19800"/>
    <s v="Debit"/>
    <x v="0"/>
    <x v="3"/>
    <s v="Wed"/>
  </r>
  <r>
    <s v="TXN10113"/>
    <d v="2026-04-08T00:00:00"/>
    <s v="C1059"/>
    <s v="Imran Sharma"/>
    <s v="Current"/>
    <x v="2"/>
    <x v="4"/>
    <s v="Insurance Premium"/>
    <x v="3"/>
    <n v="13230"/>
    <s v="Debit"/>
    <x v="0"/>
    <x v="3"/>
    <s v="Wed"/>
  </r>
  <r>
    <s v="TXN10114"/>
    <d v="2026-04-09T00:00:00"/>
    <s v="C1013"/>
    <s v="Rahul Das"/>
    <s v="Salary"/>
    <x v="3"/>
    <x v="1"/>
    <s v="Rent"/>
    <x v="0"/>
    <n v="42770"/>
    <s v="Debit"/>
    <x v="0"/>
    <x v="3"/>
    <s v="Thu"/>
  </r>
  <r>
    <s v="TXN10115"/>
    <d v="2026-04-09T00:00:00"/>
    <s v="C1027"/>
    <s v="Anjali Das"/>
    <s v="Salary"/>
    <x v="3"/>
    <x v="4"/>
    <s v="Insurance Premium"/>
    <x v="1"/>
    <n v="10260"/>
    <s v="Debit"/>
    <x v="0"/>
    <x v="3"/>
    <s v="Thu"/>
  </r>
  <r>
    <s v="TXN10116"/>
    <d v="2026-04-12T00:00:00"/>
    <s v="C1025"/>
    <s v="Imran Menon"/>
    <s v="Salary"/>
    <x v="0"/>
    <x v="2"/>
    <s v="Fuel"/>
    <x v="2"/>
    <n v="7270"/>
    <s v="Debit"/>
    <x v="0"/>
    <x v="3"/>
    <s v="Sun"/>
  </r>
  <r>
    <s v="TXN10117"/>
    <d v="2026-04-12T00:00:00"/>
    <s v="C1039"/>
    <s v="Kavya Iyer"/>
    <s v="Salary"/>
    <x v="2"/>
    <x v="1"/>
    <s v="Investment"/>
    <x v="3"/>
    <n v="4990"/>
    <s v="Debit"/>
    <x v="0"/>
    <x v="3"/>
    <s v="Sun"/>
  </r>
  <r>
    <s v="TXN10118"/>
    <d v="2026-04-15T00:00:00"/>
    <s v="C1020"/>
    <s v="Nisha Reddy"/>
    <s v="Current"/>
    <x v="4"/>
    <x v="2"/>
    <s v="Groceries"/>
    <x v="2"/>
    <n v="22970"/>
    <s v="Debit"/>
    <x v="0"/>
    <x v="3"/>
    <s v="Wed"/>
  </r>
  <r>
    <s v="TXN10119"/>
    <d v="2026-04-16T00:00:00"/>
    <s v="C1005"/>
    <s v="Vikram Reddy"/>
    <s v="Salary"/>
    <x v="2"/>
    <x v="2"/>
    <s v="Shopping"/>
    <x v="1"/>
    <n v="6370"/>
    <s v="Debit"/>
    <x v="0"/>
    <x v="3"/>
    <s v="Thu"/>
  </r>
  <r>
    <s v="TXN10120"/>
    <d v="2026-04-17T00:00:00"/>
    <s v="C1056"/>
    <s v="Lakshmi Singh"/>
    <s v="Savings"/>
    <x v="5"/>
    <x v="2"/>
    <s v="Shopping"/>
    <x v="0"/>
    <n v="28720"/>
    <s v="Debit"/>
    <x v="0"/>
    <x v="3"/>
    <s v="Fri"/>
  </r>
  <r>
    <s v="TXN10121"/>
    <d v="2026-04-20T00:00:00"/>
    <s v="C1005"/>
    <s v="Vikram Reddy"/>
    <s v="Salary"/>
    <x v="2"/>
    <x v="1"/>
    <s v="Rent"/>
    <x v="1"/>
    <n v="54720"/>
    <s v="Debit"/>
    <x v="0"/>
    <x v="3"/>
    <s v="Mon"/>
  </r>
  <r>
    <s v="TXN10122"/>
    <d v="2026-04-21T00:00:00"/>
    <s v="C1028"/>
    <s v="Ramesh Singh"/>
    <s v="Current"/>
    <x v="0"/>
    <x v="1"/>
    <s v="Business Payment"/>
    <x v="0"/>
    <n v="41970"/>
    <s v="Debit"/>
    <x v="0"/>
    <x v="3"/>
    <s v="Tue"/>
  </r>
  <r>
    <s v="TXN10123"/>
    <d v="2026-04-21T00:00:00"/>
    <s v="C1049"/>
    <s v="Ganesh Sharma"/>
    <s v="Savings"/>
    <x v="5"/>
    <x v="1"/>
    <s v="Business Payment"/>
    <x v="1"/>
    <n v="43560"/>
    <s v="Debit"/>
    <x v="0"/>
    <x v="3"/>
    <s v="Tue"/>
  </r>
  <r>
    <s v="TXN10124"/>
    <d v="2026-04-22T00:00:00"/>
    <s v="C1029"/>
    <s v="Anjali Iyer"/>
    <s v="Savings"/>
    <x v="1"/>
    <x v="1"/>
    <s v="Investment"/>
    <x v="0"/>
    <n v="85690"/>
    <s v="Debit"/>
    <x v="0"/>
    <x v="3"/>
    <s v="Wed"/>
  </r>
  <r>
    <s v="TXN10125"/>
    <d v="2026-04-22T00:00:00"/>
    <s v="C1049"/>
    <s v="Ganesh Sharma"/>
    <s v="Savings"/>
    <x v="5"/>
    <x v="5"/>
    <s v="Cash Withdrawal"/>
    <x v="4"/>
    <n v="21260"/>
    <s v="Debit"/>
    <x v="0"/>
    <x v="3"/>
    <s v="Wed"/>
  </r>
  <r>
    <s v="TXN10126"/>
    <d v="2026-04-22T00:00:00"/>
    <s v="C1038"/>
    <s v="Sneha Patel"/>
    <s v="Savings"/>
    <x v="5"/>
    <x v="3"/>
    <s v="Salary Credit"/>
    <x v="1"/>
    <n v="14250"/>
    <s v="Credit"/>
    <x v="2"/>
    <x v="3"/>
    <s v="Wed"/>
  </r>
  <r>
    <s v="TXN10127"/>
    <d v="2026-04-23T00:00:00"/>
    <s v="C1032"/>
    <s v="Rahul Singh"/>
    <s v="Salary"/>
    <x v="0"/>
    <x v="5"/>
    <s v="Cash Withdrawal"/>
    <x v="5"/>
    <n v="19680"/>
    <s v="Debit"/>
    <x v="0"/>
    <x v="3"/>
    <s v="Thu"/>
  </r>
  <r>
    <s v="TXN10128"/>
    <d v="2026-04-23T00:00:00"/>
    <s v="C1041"/>
    <s v="Kavya Patel"/>
    <s v="Savings"/>
    <x v="5"/>
    <x v="5"/>
    <s v="Cash Withdrawal"/>
    <x v="5"/>
    <n v="27270"/>
    <s v="Debit"/>
    <x v="0"/>
    <x v="3"/>
    <s v="Thu"/>
  </r>
  <r>
    <s v="TXN10129"/>
    <d v="2026-04-24T00:00:00"/>
    <s v="C1042"/>
    <s v="Anjali Gupta"/>
    <s v="Savings"/>
    <x v="6"/>
    <x v="3"/>
    <s v="Cash Deposit"/>
    <x v="2"/>
    <n v="48820"/>
    <s v="Credit"/>
    <x v="0"/>
    <x v="3"/>
    <s v="Fri"/>
  </r>
  <r>
    <s v="TXN10130"/>
    <d v="2026-04-25T00:00:00"/>
    <s v="C1042"/>
    <s v="Anjali Gupta"/>
    <s v="Savings"/>
    <x v="6"/>
    <x v="3"/>
    <s v="Cash Deposit"/>
    <x v="4"/>
    <n v="114360"/>
    <s v="Credit"/>
    <x v="1"/>
    <x v="3"/>
    <s v="Sat"/>
  </r>
  <r>
    <s v="TXN10131"/>
    <d v="2026-04-25T00:00:00"/>
    <s v="C1008"/>
    <s v="Deepak Iyer"/>
    <s v="Current"/>
    <x v="0"/>
    <x v="2"/>
    <s v="Dining"/>
    <x v="2"/>
    <n v="7250"/>
    <s v="Debit"/>
    <x v="0"/>
    <x v="3"/>
    <s v="Sat"/>
  </r>
  <r>
    <s v="TXN10132"/>
    <d v="2026-04-26T00:00:00"/>
    <s v="C1041"/>
    <s v="Kavya Patel"/>
    <s v="Savings"/>
    <x v="5"/>
    <x v="5"/>
    <s v="Cash Withdrawal"/>
    <x v="4"/>
    <n v="16830"/>
    <s v="Debit"/>
    <x v="0"/>
    <x v="3"/>
    <s v="Sun"/>
  </r>
  <r>
    <s v="TXN10133"/>
    <d v="2026-04-27T00:00:00"/>
    <s v="C1015"/>
    <s v="Rahul Kumar"/>
    <s v="Current"/>
    <x v="5"/>
    <x v="3"/>
    <s v="Cheque Deposit"/>
    <x v="0"/>
    <n v="45400"/>
    <s v="Credit"/>
    <x v="0"/>
    <x v="3"/>
    <s v="Mon"/>
  </r>
  <r>
    <s v="TXN10134"/>
    <d v="2026-04-29T00:00:00"/>
    <s v="C1019"/>
    <s v="Suresh Sharma"/>
    <s v="Salary"/>
    <x v="4"/>
    <x v="0"/>
    <s v="Home Loan"/>
    <x v="3"/>
    <n v="39500"/>
    <s v="Debit"/>
    <x v="0"/>
    <x v="3"/>
    <s v="Wed"/>
  </r>
  <r>
    <s v="TXN10135"/>
    <d v="2026-04-29T00:00:00"/>
    <s v="C1035"/>
    <s v="Rohit Sharma"/>
    <s v="Current"/>
    <x v="3"/>
    <x v="0"/>
    <s v="Home Loan"/>
    <x v="0"/>
    <n v="41500"/>
    <s v="Debit"/>
    <x v="0"/>
    <x v="3"/>
    <s v="Wed"/>
  </r>
  <r>
    <s v="TXN10136"/>
    <d v="2026-04-30T00:00:00"/>
    <s v="C1055"/>
    <s v="Pooja Iyer"/>
    <s v="Savings"/>
    <x v="1"/>
    <x v="0"/>
    <s v="Personal Loan"/>
    <x v="0"/>
    <n v="17500"/>
    <s v="Debit"/>
    <x v="0"/>
    <x v="3"/>
    <s v="Thu"/>
  </r>
  <r>
    <s v="TXN10137"/>
    <d v="2026-05-01T00:00:00"/>
    <s v="C1007"/>
    <s v="Ganesh Gupta"/>
    <s v="Savings"/>
    <x v="3"/>
    <x v="3"/>
    <s v="Salary Credit"/>
    <x v="1"/>
    <n v="27170"/>
    <s v="Credit"/>
    <x v="0"/>
    <x v="4"/>
    <s v="Fri"/>
  </r>
  <r>
    <s v="TXN10138"/>
    <d v="2026-05-01T00:00:00"/>
    <s v="C1050"/>
    <s v="Rahul Nair"/>
    <s v="Salary"/>
    <x v="2"/>
    <x v="4"/>
    <s v="Mobile Recharge"/>
    <x v="1"/>
    <n v="5930"/>
    <s v="Debit"/>
    <x v="0"/>
    <x v="4"/>
    <s v="Fri"/>
  </r>
  <r>
    <s v="TXN10139"/>
    <d v="2026-05-04T00:00:00"/>
    <s v="C1032"/>
    <s v="Rahul Singh"/>
    <s v="Salary"/>
    <x v="0"/>
    <x v="2"/>
    <s v="Travel"/>
    <x v="2"/>
    <n v="7120"/>
    <s v="Debit"/>
    <x v="0"/>
    <x v="4"/>
    <s v="Mon"/>
  </r>
  <r>
    <s v="TXN10140"/>
    <d v="2026-05-04T00:00:00"/>
    <s v="C1046"/>
    <s v="Aditya Gupta"/>
    <s v="Savings"/>
    <x v="0"/>
    <x v="3"/>
    <s v="Cash Deposit"/>
    <x v="1"/>
    <n v="56160"/>
    <s v="Credit"/>
    <x v="0"/>
    <x v="4"/>
    <s v="Mon"/>
  </r>
  <r>
    <s v="TXN10141"/>
    <d v="2026-05-04T00:00:00"/>
    <s v="C1014"/>
    <s v="Swathi Nair"/>
    <s v="Salary"/>
    <x v="5"/>
    <x v="4"/>
    <s v="Water &amp; Gas"/>
    <x v="0"/>
    <n v="1040"/>
    <s v="Debit"/>
    <x v="0"/>
    <x v="4"/>
    <s v="Mon"/>
  </r>
  <r>
    <s v="TXN10142"/>
    <d v="2026-05-04T00:00:00"/>
    <s v="C1014"/>
    <s v="Swathi Nair"/>
    <s v="Salary"/>
    <x v="5"/>
    <x v="3"/>
    <s v="Salary Credit"/>
    <x v="0"/>
    <n v="91680"/>
    <s v="Credit"/>
    <x v="0"/>
    <x v="4"/>
    <s v="Mon"/>
  </r>
  <r>
    <s v="TXN10143"/>
    <d v="2026-05-05T00:00:00"/>
    <s v="C1003"/>
    <s v="Nisha Sharma"/>
    <s v="Salary"/>
    <x v="6"/>
    <x v="4"/>
    <s v="Insurance Premium"/>
    <x v="3"/>
    <n v="1920"/>
    <s v="Debit"/>
    <x v="0"/>
    <x v="4"/>
    <s v="Tue"/>
  </r>
  <r>
    <s v="TXN10144"/>
    <d v="2026-05-06T00:00:00"/>
    <s v="C1048"/>
    <s v="Farah Nair"/>
    <s v="Salary"/>
    <x v="1"/>
    <x v="3"/>
    <s v="Salary Credit"/>
    <x v="1"/>
    <n v="36500"/>
    <s v="Credit"/>
    <x v="0"/>
    <x v="4"/>
    <s v="Wed"/>
  </r>
  <r>
    <s v="TXN10145"/>
    <d v="2026-05-07T00:00:00"/>
    <s v="C1030"/>
    <s v="Deepak Kumar"/>
    <s v="Savings"/>
    <x v="6"/>
    <x v="5"/>
    <s v="Cash Withdrawal"/>
    <x v="5"/>
    <n v="7940"/>
    <s v="Debit"/>
    <x v="0"/>
    <x v="4"/>
    <s v="Thu"/>
  </r>
  <r>
    <s v="TXN10146"/>
    <d v="2026-05-09T00:00:00"/>
    <s v="C1052"/>
    <s v="Rahul Kumar"/>
    <s v="Savings"/>
    <x v="5"/>
    <x v="3"/>
    <s v="Cash Deposit"/>
    <x v="4"/>
    <n v="24110"/>
    <s v="Credit"/>
    <x v="0"/>
    <x v="4"/>
    <s v="Sat"/>
  </r>
  <r>
    <s v="TXN10147"/>
    <d v="2026-05-09T00:00:00"/>
    <s v="C1004"/>
    <s v="Neha Kumar"/>
    <s v="Savings"/>
    <x v="2"/>
    <x v="4"/>
    <s v="Electricity"/>
    <x v="1"/>
    <n v="8450"/>
    <s v="Debit"/>
    <x v="0"/>
    <x v="4"/>
    <s v="Sat"/>
  </r>
  <r>
    <s v="TXN10148"/>
    <d v="2026-05-10T00:00:00"/>
    <s v="C1056"/>
    <s v="Lakshmi Singh"/>
    <s v="Savings"/>
    <x v="5"/>
    <x v="1"/>
    <s v="Family Transfer"/>
    <x v="0"/>
    <n v="40670"/>
    <s v="Debit"/>
    <x v="0"/>
    <x v="4"/>
    <s v="Sun"/>
  </r>
  <r>
    <s v="TXN10149"/>
    <d v="2026-05-11T00:00:00"/>
    <s v="C1043"/>
    <s v="Nisha Menon"/>
    <s v="Salary"/>
    <x v="6"/>
    <x v="3"/>
    <s v="Interest Credit"/>
    <x v="0"/>
    <n v="103250"/>
    <s v="Credit"/>
    <x v="0"/>
    <x v="4"/>
    <s v="Mon"/>
  </r>
  <r>
    <s v="TXN10150"/>
    <d v="2026-05-12T00:00:00"/>
    <s v="C1050"/>
    <s v="Rahul Nair"/>
    <s v="Salary"/>
    <x v="2"/>
    <x v="1"/>
    <s v="Family Transfer"/>
    <x v="3"/>
    <n v="61120"/>
    <s v="Debit"/>
    <x v="0"/>
    <x v="4"/>
    <s v="Tue"/>
  </r>
  <r>
    <s v="TXN10151"/>
    <d v="2026-05-16T00:00:00"/>
    <s v="C1051"/>
    <s v="Pooja Reddy"/>
    <s v="Savings"/>
    <x v="5"/>
    <x v="0"/>
    <s v="Personal Loan"/>
    <x v="3"/>
    <n v="31500"/>
    <s v="Debit"/>
    <x v="1"/>
    <x v="4"/>
    <s v="Sat"/>
  </r>
  <r>
    <s v="TXN10152"/>
    <d v="2026-05-16T00:00:00"/>
    <s v="C1042"/>
    <s v="Anjali Gupta"/>
    <s v="Savings"/>
    <x v="6"/>
    <x v="5"/>
    <s v="Cash Withdrawal"/>
    <x v="5"/>
    <n v="24920"/>
    <s v="Debit"/>
    <x v="0"/>
    <x v="4"/>
    <s v="Sat"/>
  </r>
  <r>
    <s v="TXN10153"/>
    <d v="2026-05-20T00:00:00"/>
    <s v="C1019"/>
    <s v="Suresh Sharma"/>
    <s v="Salary"/>
    <x v="4"/>
    <x v="4"/>
    <s v="Insurance Premium"/>
    <x v="3"/>
    <n v="5340"/>
    <s v="Debit"/>
    <x v="0"/>
    <x v="4"/>
    <s v="Wed"/>
  </r>
  <r>
    <s v="TXN10154"/>
    <d v="2026-05-20T00:00:00"/>
    <s v="C1022"/>
    <s v="Rohit Kumar"/>
    <s v="Savings"/>
    <x v="5"/>
    <x v="5"/>
    <s v="Cash Withdrawal"/>
    <x v="4"/>
    <n v="5970"/>
    <s v="Debit"/>
    <x v="0"/>
    <x v="4"/>
    <s v="Wed"/>
  </r>
  <r>
    <s v="TXN10155"/>
    <d v="2026-05-22T00:00:00"/>
    <s v="C1047"/>
    <s v="Pooja Reddy"/>
    <s v="Current"/>
    <x v="3"/>
    <x v="4"/>
    <s v="Mobile Recharge"/>
    <x v="3"/>
    <n v="9070"/>
    <s v="Debit"/>
    <x v="2"/>
    <x v="4"/>
    <s v="Fri"/>
  </r>
  <r>
    <s v="TXN10156"/>
    <d v="2026-05-23T00:00:00"/>
    <s v="C1057"/>
    <s v="Sneha Singh"/>
    <s v="Current"/>
    <x v="7"/>
    <x v="1"/>
    <s v="Investment"/>
    <x v="1"/>
    <n v="57420"/>
    <s v="Debit"/>
    <x v="0"/>
    <x v="4"/>
    <s v="Sat"/>
  </r>
  <r>
    <s v="TXN10157"/>
    <d v="2026-05-26T00:00:00"/>
    <s v="C1006"/>
    <s v="Vikram Das"/>
    <s v="Savings"/>
    <x v="0"/>
    <x v="0"/>
    <s v="Personal Loan"/>
    <x v="1"/>
    <n v="23000"/>
    <s v="Debit"/>
    <x v="0"/>
    <x v="4"/>
    <s v="Tue"/>
  </r>
  <r>
    <s v="TXN10158"/>
    <d v="2026-05-27T00:00:00"/>
    <s v="C1028"/>
    <s v="Ramesh Singh"/>
    <s v="Current"/>
    <x v="0"/>
    <x v="4"/>
    <s v="Water &amp; Gas"/>
    <x v="3"/>
    <n v="14930"/>
    <s v="Debit"/>
    <x v="0"/>
    <x v="4"/>
    <s v="Wed"/>
  </r>
  <r>
    <s v="TXN10159"/>
    <d v="2026-05-27T00:00:00"/>
    <s v="C1023"/>
    <s v="Rohit Singh"/>
    <s v="Savings"/>
    <x v="3"/>
    <x v="2"/>
    <s v="Groceries"/>
    <x v="2"/>
    <n v="26000"/>
    <s v="Debit"/>
    <x v="0"/>
    <x v="4"/>
    <s v="Wed"/>
  </r>
  <r>
    <s v="TXN10160"/>
    <d v="2026-05-27T00:00:00"/>
    <s v="C1035"/>
    <s v="Rohit Sharma"/>
    <s v="Current"/>
    <x v="3"/>
    <x v="3"/>
    <s v="Interest Credit"/>
    <x v="5"/>
    <n v="132960"/>
    <s v="Credit"/>
    <x v="0"/>
    <x v="4"/>
    <s v="Wed"/>
  </r>
  <r>
    <s v="TXN10161"/>
    <d v="2026-05-28T00:00:00"/>
    <s v="C1046"/>
    <s v="Aditya Gupta"/>
    <s v="Savings"/>
    <x v="0"/>
    <x v="5"/>
    <s v="Cash Withdrawal"/>
    <x v="5"/>
    <n v="13020"/>
    <s v="Debit"/>
    <x v="0"/>
    <x v="4"/>
    <s v="Thu"/>
  </r>
  <r>
    <s v="TXN10162"/>
    <d v="2026-05-28T00:00:00"/>
    <s v="C1008"/>
    <s v="Deepak Iyer"/>
    <s v="Current"/>
    <x v="0"/>
    <x v="4"/>
    <s v="Insurance Premium"/>
    <x v="3"/>
    <n v="5880"/>
    <s v="Debit"/>
    <x v="2"/>
    <x v="4"/>
    <s v="Thu"/>
  </r>
  <r>
    <s v="TXN10163"/>
    <d v="2026-06-01T00:00:00"/>
    <s v="C1015"/>
    <s v="Rahul Kumar"/>
    <s v="Current"/>
    <x v="5"/>
    <x v="1"/>
    <s v="Investment"/>
    <x v="1"/>
    <n v="2400"/>
    <s v="Debit"/>
    <x v="0"/>
    <x v="5"/>
    <s v="Mon"/>
  </r>
  <r>
    <s v="TXN10164"/>
    <d v="2026-06-01T00:00:00"/>
    <s v="C1045"/>
    <s v="Lakshmi Das"/>
    <s v="Current"/>
    <x v="4"/>
    <x v="5"/>
    <s v="Cash Withdrawal"/>
    <x v="5"/>
    <n v="11340"/>
    <s v="Debit"/>
    <x v="0"/>
    <x v="5"/>
    <s v="Mon"/>
  </r>
  <r>
    <s v="TXN10165"/>
    <d v="2026-06-01T00:00:00"/>
    <s v="C1048"/>
    <s v="Farah Nair"/>
    <s v="Salary"/>
    <x v="1"/>
    <x v="2"/>
    <s v="Shopping"/>
    <x v="2"/>
    <n v="14160"/>
    <s v="Debit"/>
    <x v="0"/>
    <x v="5"/>
    <s v="Mon"/>
  </r>
  <r>
    <s v="TXN10166"/>
    <d v="2026-06-01T00:00:00"/>
    <s v="C1037"/>
    <s v="Nisha Patel"/>
    <s v="Salary"/>
    <x v="4"/>
    <x v="4"/>
    <s v="Water &amp; Gas"/>
    <x v="0"/>
    <n v="2880"/>
    <s v="Debit"/>
    <x v="0"/>
    <x v="5"/>
    <s v="Mon"/>
  </r>
  <r>
    <s v="TXN10167"/>
    <d v="2026-06-03T00:00:00"/>
    <s v="C1060"/>
    <s v="Nisha Nair"/>
    <s v="Savings"/>
    <x v="6"/>
    <x v="4"/>
    <s v="Mobile Recharge"/>
    <x v="0"/>
    <n v="4190"/>
    <s v="Debit"/>
    <x v="0"/>
    <x v="5"/>
    <s v="Wed"/>
  </r>
  <r>
    <s v="TXN10168"/>
    <d v="2026-06-03T00:00:00"/>
    <s v="C1033"/>
    <s v="Ganesh Das"/>
    <s v="Salary"/>
    <x v="3"/>
    <x v="5"/>
    <s v="Cash Withdrawal"/>
    <x v="5"/>
    <n v="13380"/>
    <s v="Debit"/>
    <x v="0"/>
    <x v="5"/>
    <s v="Wed"/>
  </r>
  <r>
    <s v="TXN10169"/>
    <d v="2026-06-03T00:00:00"/>
    <s v="C1018"/>
    <s v="Kavya Nair"/>
    <s v="Salary"/>
    <x v="5"/>
    <x v="3"/>
    <s v="Interest Credit"/>
    <x v="2"/>
    <n v="137180"/>
    <s v="Credit"/>
    <x v="0"/>
    <x v="5"/>
    <s v="Wed"/>
  </r>
  <r>
    <s v="TXN10170"/>
    <d v="2026-06-04T00:00:00"/>
    <s v="C1031"/>
    <s v="Imran Iyer"/>
    <s v="Salary"/>
    <x v="0"/>
    <x v="5"/>
    <s v="Cash Withdrawal"/>
    <x v="5"/>
    <n v="12250"/>
    <s v="Debit"/>
    <x v="0"/>
    <x v="5"/>
    <s v="Thu"/>
  </r>
  <r>
    <s v="TXN10171"/>
    <d v="2026-06-05T00:00:00"/>
    <s v="C1051"/>
    <s v="Pooja Reddy"/>
    <s v="Savings"/>
    <x v="5"/>
    <x v="5"/>
    <s v="Cash Withdrawal"/>
    <x v="4"/>
    <n v="14400"/>
    <s v="Debit"/>
    <x v="0"/>
    <x v="5"/>
    <s v="Fri"/>
  </r>
  <r>
    <s v="TXN10172"/>
    <d v="2026-06-06T00:00:00"/>
    <s v="C1043"/>
    <s v="Nisha Menon"/>
    <s v="Salary"/>
    <x v="6"/>
    <x v="4"/>
    <s v="Insurance Premium"/>
    <x v="1"/>
    <n v="8440"/>
    <s v="Debit"/>
    <x v="0"/>
    <x v="5"/>
    <s v="Sat"/>
  </r>
  <r>
    <s v="TXN10173"/>
    <d v="2026-06-07T00:00:00"/>
    <s v="C1017"/>
    <s v="Suresh Menon"/>
    <s v="Savings"/>
    <x v="7"/>
    <x v="5"/>
    <s v="Cash Withdrawal"/>
    <x v="5"/>
    <n v="18910"/>
    <s v="Debit"/>
    <x v="0"/>
    <x v="5"/>
    <s v="Sun"/>
  </r>
  <r>
    <s v="TXN10174"/>
    <d v="2026-06-08T00:00:00"/>
    <s v="C1015"/>
    <s v="Rahul Kumar"/>
    <s v="Current"/>
    <x v="5"/>
    <x v="2"/>
    <s v="Travel"/>
    <x v="2"/>
    <n v="930"/>
    <s v="Debit"/>
    <x v="0"/>
    <x v="5"/>
    <s v="Mon"/>
  </r>
  <r>
    <s v="TXN10175"/>
    <d v="2026-06-08T00:00:00"/>
    <s v="C1026"/>
    <s v="Ganesh Iyer"/>
    <s v="Savings"/>
    <x v="3"/>
    <x v="2"/>
    <s v="Travel"/>
    <x v="1"/>
    <n v="14460"/>
    <s v="Debit"/>
    <x v="0"/>
    <x v="5"/>
    <s v="Mon"/>
  </r>
  <r>
    <s v="TXN10176"/>
    <d v="2026-06-09T00:00:00"/>
    <s v="C1047"/>
    <s v="Pooja Reddy"/>
    <s v="Current"/>
    <x v="3"/>
    <x v="5"/>
    <s v="Cash Withdrawal"/>
    <x v="4"/>
    <n v="35390"/>
    <s v="Debit"/>
    <x v="0"/>
    <x v="5"/>
    <s v="Tue"/>
  </r>
  <r>
    <s v="TXN10177"/>
    <d v="2026-06-10T00:00:00"/>
    <s v="C1016"/>
    <s v="Rahul Reddy"/>
    <s v="Current"/>
    <x v="6"/>
    <x v="5"/>
    <s v="Cash Withdrawal"/>
    <x v="4"/>
    <n v="27030"/>
    <s v="Debit"/>
    <x v="0"/>
    <x v="5"/>
    <s v="Wed"/>
  </r>
  <r>
    <s v="TXN10178"/>
    <d v="2026-06-10T00:00:00"/>
    <s v="C1042"/>
    <s v="Anjali Gupta"/>
    <s v="Savings"/>
    <x v="6"/>
    <x v="5"/>
    <s v="Cash Withdrawal"/>
    <x v="4"/>
    <n v="1520"/>
    <s v="Debit"/>
    <x v="0"/>
    <x v="5"/>
    <s v="Wed"/>
  </r>
  <r>
    <s v="TXN10179"/>
    <d v="2026-06-10T00:00:00"/>
    <s v="C1012"/>
    <s v="Nisha Menon"/>
    <s v="Current"/>
    <x v="6"/>
    <x v="1"/>
    <s v="Investment"/>
    <x v="3"/>
    <n v="34890"/>
    <s v="Debit"/>
    <x v="0"/>
    <x v="5"/>
    <s v="Wed"/>
  </r>
  <r>
    <s v="TXN10180"/>
    <d v="2026-06-11T00:00:00"/>
    <s v="C1008"/>
    <s v="Deepak Iyer"/>
    <s v="Current"/>
    <x v="0"/>
    <x v="0"/>
    <s v="Personal Loan"/>
    <x v="3"/>
    <n v="12500"/>
    <s v="Debit"/>
    <x v="0"/>
    <x v="5"/>
    <s v="Thu"/>
  </r>
  <r>
    <s v="TXN10181"/>
    <d v="2026-06-13T00:00:00"/>
    <s v="C1043"/>
    <s v="Nisha Menon"/>
    <s v="Salary"/>
    <x v="6"/>
    <x v="5"/>
    <s v="Cash Withdrawal"/>
    <x v="4"/>
    <n v="22220"/>
    <s v="Debit"/>
    <x v="0"/>
    <x v="5"/>
    <s v="Sat"/>
  </r>
  <r>
    <s v="TXN10182"/>
    <d v="2026-06-13T00:00:00"/>
    <s v="C1047"/>
    <s v="Pooja Reddy"/>
    <s v="Current"/>
    <x v="3"/>
    <x v="2"/>
    <s v="Dining"/>
    <x v="0"/>
    <n v="29270"/>
    <s v="Debit"/>
    <x v="0"/>
    <x v="5"/>
    <s v="Sat"/>
  </r>
  <r>
    <s v="TXN10183"/>
    <d v="2026-06-13T00:00:00"/>
    <s v="C1059"/>
    <s v="Imran Sharma"/>
    <s v="Current"/>
    <x v="2"/>
    <x v="5"/>
    <s v="Cash Withdrawal"/>
    <x v="5"/>
    <n v="16850"/>
    <s v="Debit"/>
    <x v="0"/>
    <x v="5"/>
    <s v="Sat"/>
  </r>
  <r>
    <s v="TXN10184"/>
    <d v="2026-06-14T00:00:00"/>
    <s v="C1030"/>
    <s v="Deepak Kumar"/>
    <s v="Savings"/>
    <x v="6"/>
    <x v="1"/>
    <s v="Rent"/>
    <x v="3"/>
    <n v="22160"/>
    <s v="Debit"/>
    <x v="0"/>
    <x v="5"/>
    <s v="Sun"/>
  </r>
  <r>
    <s v="TXN10185"/>
    <d v="2026-06-14T00:00:00"/>
    <s v="C1016"/>
    <s v="Rahul Reddy"/>
    <s v="Current"/>
    <x v="6"/>
    <x v="5"/>
    <s v="Cash Withdrawal"/>
    <x v="4"/>
    <n v="39430"/>
    <s v="Debit"/>
    <x v="0"/>
    <x v="5"/>
    <s v="Sun"/>
  </r>
  <r>
    <s v="TXN10186"/>
    <d v="2026-06-15T00:00:00"/>
    <s v="C1002"/>
    <s v="Suresh Reddy"/>
    <s v="Savings"/>
    <x v="5"/>
    <x v="3"/>
    <s v="Salary Credit"/>
    <x v="1"/>
    <n v="66040"/>
    <s v="Credit"/>
    <x v="0"/>
    <x v="5"/>
    <s v="Mon"/>
  </r>
  <r>
    <s v="TXN10187"/>
    <d v="2026-06-15T00:00:00"/>
    <s v="C1056"/>
    <s v="Lakshmi Singh"/>
    <s v="Savings"/>
    <x v="5"/>
    <x v="2"/>
    <s v="Travel"/>
    <x v="0"/>
    <n v="4700"/>
    <s v="Debit"/>
    <x v="0"/>
    <x v="5"/>
    <s v="Mon"/>
  </r>
  <r>
    <s v="TXN10188"/>
    <d v="2026-06-17T00:00:00"/>
    <s v="C1043"/>
    <s v="Nisha Menon"/>
    <s v="Salary"/>
    <x v="6"/>
    <x v="5"/>
    <s v="Cash Withdrawal"/>
    <x v="5"/>
    <n v="24300"/>
    <s v="Debit"/>
    <x v="0"/>
    <x v="5"/>
    <s v="Wed"/>
  </r>
  <r>
    <s v="TXN10189"/>
    <d v="2026-06-17T00:00:00"/>
    <s v="C1060"/>
    <s v="Nisha Nair"/>
    <s v="Savings"/>
    <x v="6"/>
    <x v="4"/>
    <s v="Water &amp; Gas"/>
    <x v="1"/>
    <n v="3090"/>
    <s v="Debit"/>
    <x v="0"/>
    <x v="5"/>
    <s v="Wed"/>
  </r>
  <r>
    <s v="TXN10190"/>
    <d v="2026-06-18T00:00:00"/>
    <s v="C1050"/>
    <s v="Rahul Nair"/>
    <s v="Salary"/>
    <x v="2"/>
    <x v="3"/>
    <s v="Cash Deposit"/>
    <x v="4"/>
    <n v="45200"/>
    <s v="Credit"/>
    <x v="2"/>
    <x v="5"/>
    <s v="Thu"/>
  </r>
  <r>
    <s v="TXN10191"/>
    <d v="2026-06-18T00:00:00"/>
    <s v="C1020"/>
    <s v="Nisha Reddy"/>
    <s v="Current"/>
    <x v="4"/>
    <x v="4"/>
    <s v="Mobile Recharge"/>
    <x v="3"/>
    <n v="470"/>
    <s v="Debit"/>
    <x v="0"/>
    <x v="5"/>
    <s v="Thu"/>
  </r>
  <r>
    <s v="TXN10192"/>
    <d v="2026-06-19T00:00:00"/>
    <s v="C1044"/>
    <s v="Deepak Iyer"/>
    <s v="Salary"/>
    <x v="4"/>
    <x v="3"/>
    <s v="Salary Credit"/>
    <x v="0"/>
    <n v="120530"/>
    <s v="Credit"/>
    <x v="0"/>
    <x v="5"/>
    <s v="Fri"/>
  </r>
  <r>
    <s v="TXN10193"/>
    <d v="2026-06-20T00:00:00"/>
    <s v="C1021"/>
    <s v="Manoj Patel"/>
    <s v="Salary"/>
    <x v="5"/>
    <x v="4"/>
    <s v="Insurance Premium"/>
    <x v="0"/>
    <n v="5150"/>
    <s v="Debit"/>
    <x v="0"/>
    <x v="5"/>
    <s v="Sat"/>
  </r>
  <r>
    <s v="TXN10194"/>
    <d v="2026-06-20T00:00:00"/>
    <s v="C1006"/>
    <s v="Vikram Das"/>
    <s v="Savings"/>
    <x v="0"/>
    <x v="4"/>
    <s v="Water &amp; Gas"/>
    <x v="0"/>
    <n v="13780"/>
    <s v="Debit"/>
    <x v="0"/>
    <x v="5"/>
    <s v="Sat"/>
  </r>
  <r>
    <s v="TXN10195"/>
    <d v="2026-06-20T00:00:00"/>
    <s v="C1009"/>
    <s v="Suresh Iyer"/>
    <s v="Current"/>
    <x v="5"/>
    <x v="3"/>
    <s v="Interest Credit"/>
    <x v="1"/>
    <n v="30390"/>
    <s v="Credit"/>
    <x v="0"/>
    <x v="5"/>
    <s v="Sat"/>
  </r>
  <r>
    <s v="TXN10196"/>
    <d v="2026-06-21T00:00:00"/>
    <s v="C1005"/>
    <s v="Vikram Reddy"/>
    <s v="Salary"/>
    <x v="2"/>
    <x v="5"/>
    <s v="Cash Withdrawal"/>
    <x v="5"/>
    <n v="11720"/>
    <s v="Debit"/>
    <x v="0"/>
    <x v="5"/>
    <s v="Sun"/>
  </r>
  <r>
    <s v="TXN10197"/>
    <d v="2026-06-23T00:00:00"/>
    <s v="C1023"/>
    <s v="Rohit Singh"/>
    <s v="Savings"/>
    <x v="3"/>
    <x v="3"/>
    <s v="Salary Credit"/>
    <x v="5"/>
    <n v="100310"/>
    <s v="Credit"/>
    <x v="0"/>
    <x v="5"/>
    <s v="Tue"/>
  </r>
  <r>
    <s v="TXN10198"/>
    <d v="2026-06-24T00:00:00"/>
    <s v="C1018"/>
    <s v="Kavya Nair"/>
    <s v="Salary"/>
    <x v="5"/>
    <x v="2"/>
    <s v="Fuel"/>
    <x v="1"/>
    <n v="26430"/>
    <s v="Debit"/>
    <x v="0"/>
    <x v="5"/>
    <s v="Wed"/>
  </r>
  <r>
    <s v="TXN10199"/>
    <d v="2026-06-26T00:00:00"/>
    <s v="C1038"/>
    <s v="Sneha Patel"/>
    <s v="Savings"/>
    <x v="5"/>
    <x v="5"/>
    <s v="Cash Withdrawal"/>
    <x v="5"/>
    <n v="27770"/>
    <s v="Debit"/>
    <x v="0"/>
    <x v="5"/>
    <s v="Fri"/>
  </r>
  <r>
    <s v="TXN10200"/>
    <d v="2026-06-26T00:00:00"/>
    <s v="C1009"/>
    <s v="Suresh Iyer"/>
    <s v="Current"/>
    <x v="5"/>
    <x v="2"/>
    <s v="Shopping"/>
    <x v="1"/>
    <n v="19270"/>
    <s v="Debit"/>
    <x v="0"/>
    <x v="5"/>
    <s v="Fri"/>
  </r>
  <r>
    <s v="TXN10201"/>
    <d v="2026-06-28T00:00:00"/>
    <s v="C1008"/>
    <s v="Deepak Iyer"/>
    <s v="Current"/>
    <x v="0"/>
    <x v="3"/>
    <s v="Salary Credit"/>
    <x v="1"/>
    <n v="23470"/>
    <s v="Credit"/>
    <x v="2"/>
    <x v="5"/>
    <s v="Sun"/>
  </r>
  <r>
    <s v="TXN10202"/>
    <d v="2026-06-29T00:00:00"/>
    <s v="C1042"/>
    <s v="Anjali Gupta"/>
    <s v="Savings"/>
    <x v="6"/>
    <x v="1"/>
    <s v="Family Transfer"/>
    <x v="3"/>
    <n v="98130"/>
    <s v="Debit"/>
    <x v="0"/>
    <x v="5"/>
    <s v="Mon"/>
  </r>
  <r>
    <s v="TXN10203"/>
    <d v="2026-06-29T00:00:00"/>
    <s v="C1055"/>
    <s v="Pooja Iyer"/>
    <s v="Savings"/>
    <x v="1"/>
    <x v="1"/>
    <s v="Business Payment"/>
    <x v="0"/>
    <n v="76500"/>
    <s v="Debit"/>
    <x v="0"/>
    <x v="5"/>
    <s v="Mon"/>
  </r>
  <r>
    <s v="TXN10204"/>
    <d v="2026-06-29T00:00:00"/>
    <s v="C1029"/>
    <s v="Anjali Iyer"/>
    <s v="Savings"/>
    <x v="1"/>
    <x v="3"/>
    <s v="Salary Credit"/>
    <x v="0"/>
    <n v="94150"/>
    <s v="Credit"/>
    <x v="0"/>
    <x v="5"/>
    <s v="Mon"/>
  </r>
  <r>
    <s v="TXN10205"/>
    <d v="2026-06-30T00:00:00"/>
    <s v="C1045"/>
    <s v="Lakshmi Das"/>
    <s v="Current"/>
    <x v="4"/>
    <x v="1"/>
    <s v="Rent"/>
    <x v="1"/>
    <n v="25890"/>
    <s v="Debit"/>
    <x v="0"/>
    <x v="5"/>
    <s v="Tue"/>
  </r>
  <r>
    <s v="TXN10206"/>
    <d v="2026-07-03T00:00:00"/>
    <s v="C1004"/>
    <s v="Neha Kumar"/>
    <s v="Savings"/>
    <x v="2"/>
    <x v="1"/>
    <s v="Business Payment"/>
    <x v="0"/>
    <n v="96850"/>
    <s v="Debit"/>
    <x v="1"/>
    <x v="6"/>
    <s v="Fri"/>
  </r>
  <r>
    <s v="TXN10207"/>
    <d v="2026-07-05T00:00:00"/>
    <s v="C1006"/>
    <s v="Vikram Das"/>
    <s v="Savings"/>
    <x v="0"/>
    <x v="1"/>
    <s v="Family Transfer"/>
    <x v="0"/>
    <n v="25090"/>
    <s v="Debit"/>
    <x v="0"/>
    <x v="6"/>
    <s v="Sun"/>
  </r>
  <r>
    <s v="TXN10208"/>
    <d v="2026-07-06T00:00:00"/>
    <s v="C1028"/>
    <s v="Ramesh Singh"/>
    <s v="Current"/>
    <x v="0"/>
    <x v="3"/>
    <s v="Salary Credit"/>
    <x v="0"/>
    <n v="95360"/>
    <s v="Credit"/>
    <x v="0"/>
    <x v="6"/>
    <s v="Mon"/>
  </r>
  <r>
    <s v="TXN10209"/>
    <d v="2026-07-07T00:00:00"/>
    <s v="C1034"/>
    <s v="Arun Sharma"/>
    <s v="Salary"/>
    <x v="3"/>
    <x v="1"/>
    <s v="Business Payment"/>
    <x v="1"/>
    <n v="83220"/>
    <s v="Debit"/>
    <x v="0"/>
    <x v="6"/>
    <s v="Tue"/>
  </r>
  <r>
    <s v="TXN10210"/>
    <d v="2026-07-07T00:00:00"/>
    <s v="C1003"/>
    <s v="Nisha Sharma"/>
    <s v="Salary"/>
    <x v="6"/>
    <x v="1"/>
    <s v="Investment"/>
    <x v="3"/>
    <n v="56620"/>
    <s v="Debit"/>
    <x v="0"/>
    <x v="6"/>
    <s v="Tue"/>
  </r>
  <r>
    <s v="TXN10211"/>
    <d v="2026-07-08T00:00:00"/>
    <s v="C1044"/>
    <s v="Deepak Iyer"/>
    <s v="Salary"/>
    <x v="4"/>
    <x v="2"/>
    <s v="Travel"/>
    <x v="0"/>
    <n v="13960"/>
    <s v="Debit"/>
    <x v="0"/>
    <x v="6"/>
    <s v="Wed"/>
  </r>
  <r>
    <s v="TXN10212"/>
    <d v="2026-07-08T00:00:00"/>
    <s v="C1028"/>
    <s v="Ramesh Singh"/>
    <s v="Current"/>
    <x v="0"/>
    <x v="2"/>
    <s v="Dining"/>
    <x v="1"/>
    <n v="13300"/>
    <s v="Debit"/>
    <x v="1"/>
    <x v="6"/>
    <s v="Wed"/>
  </r>
  <r>
    <s v="TXN10213"/>
    <d v="2026-07-08T00:00:00"/>
    <s v="C1030"/>
    <s v="Deepak Kumar"/>
    <s v="Savings"/>
    <x v="6"/>
    <x v="2"/>
    <s v="Groceries"/>
    <x v="1"/>
    <n v="4070"/>
    <s v="Debit"/>
    <x v="0"/>
    <x v="6"/>
    <s v="Wed"/>
  </r>
  <r>
    <s v="TXN10214"/>
    <d v="2026-07-10T00:00:00"/>
    <s v="C1059"/>
    <s v="Imran Sharma"/>
    <s v="Current"/>
    <x v="2"/>
    <x v="5"/>
    <s v="Cash Withdrawal"/>
    <x v="5"/>
    <n v="31090"/>
    <s v="Debit"/>
    <x v="0"/>
    <x v="6"/>
    <s v="Fri"/>
  </r>
  <r>
    <s v="TXN10215"/>
    <d v="2026-07-11T00:00:00"/>
    <s v="C1058"/>
    <s v="Neha Menon"/>
    <s v="Salary"/>
    <x v="2"/>
    <x v="1"/>
    <s v="Rent"/>
    <x v="1"/>
    <n v="38190"/>
    <s v="Debit"/>
    <x v="0"/>
    <x v="6"/>
    <s v="Sat"/>
  </r>
  <r>
    <s v="TXN10216"/>
    <d v="2026-07-14T00:00:00"/>
    <s v="C1031"/>
    <s v="Imran Iyer"/>
    <s v="Salary"/>
    <x v="0"/>
    <x v="3"/>
    <s v="Interest Credit"/>
    <x v="0"/>
    <n v="128750"/>
    <s v="Credit"/>
    <x v="1"/>
    <x v="6"/>
    <s v="Tue"/>
  </r>
  <r>
    <s v="TXN10217"/>
    <d v="2026-07-14T00:00:00"/>
    <s v="C1021"/>
    <s v="Manoj Patel"/>
    <s v="Salary"/>
    <x v="5"/>
    <x v="5"/>
    <s v="Cash Withdrawal"/>
    <x v="5"/>
    <n v="13830"/>
    <s v="Debit"/>
    <x v="0"/>
    <x v="6"/>
    <s v="Tue"/>
  </r>
  <r>
    <s v="TXN10218"/>
    <d v="2026-07-15T00:00:00"/>
    <s v="C1056"/>
    <s v="Lakshmi Singh"/>
    <s v="Savings"/>
    <x v="5"/>
    <x v="3"/>
    <s v="Cheque Deposit"/>
    <x v="5"/>
    <n v="123410"/>
    <s v="Credit"/>
    <x v="0"/>
    <x v="6"/>
    <s v="Wed"/>
  </r>
  <r>
    <s v="TXN10219"/>
    <d v="2026-07-15T00:00:00"/>
    <s v="C1039"/>
    <s v="Kavya Iyer"/>
    <s v="Salary"/>
    <x v="2"/>
    <x v="1"/>
    <s v="Family Transfer"/>
    <x v="1"/>
    <n v="51050"/>
    <s v="Debit"/>
    <x v="0"/>
    <x v="6"/>
    <s v="Wed"/>
  </r>
  <r>
    <s v="TXN10220"/>
    <d v="2026-07-17T00:00:00"/>
    <s v="C1058"/>
    <s v="Neha Menon"/>
    <s v="Salary"/>
    <x v="2"/>
    <x v="4"/>
    <s v="Mobile Recharge"/>
    <x v="1"/>
    <n v="950"/>
    <s v="Debit"/>
    <x v="0"/>
    <x v="6"/>
    <s v="Fri"/>
  </r>
  <r>
    <s v="TXN10221"/>
    <d v="2026-07-17T00:00:00"/>
    <s v="C1043"/>
    <s v="Nisha Menon"/>
    <s v="Salary"/>
    <x v="6"/>
    <x v="0"/>
    <s v="Home Loan"/>
    <x v="3"/>
    <n v="44000"/>
    <s v="Debit"/>
    <x v="0"/>
    <x v="6"/>
    <s v="Fri"/>
  </r>
  <r>
    <s v="TXN10222"/>
    <d v="2026-07-18T00:00:00"/>
    <s v="C1030"/>
    <s v="Deepak Kumar"/>
    <s v="Savings"/>
    <x v="6"/>
    <x v="1"/>
    <s v="Rent"/>
    <x v="3"/>
    <n v="69950"/>
    <s v="Debit"/>
    <x v="0"/>
    <x v="6"/>
    <s v="Sat"/>
  </r>
  <r>
    <s v="TXN10223"/>
    <d v="2026-07-18T00:00:00"/>
    <s v="C1016"/>
    <s v="Rahul Reddy"/>
    <s v="Current"/>
    <x v="6"/>
    <x v="5"/>
    <s v="Cash Withdrawal"/>
    <x v="5"/>
    <n v="26040"/>
    <s v="Debit"/>
    <x v="0"/>
    <x v="6"/>
    <s v="Sat"/>
  </r>
  <r>
    <s v="TXN10224"/>
    <d v="2026-07-22T00:00:00"/>
    <s v="C1056"/>
    <s v="Lakshmi Singh"/>
    <s v="Savings"/>
    <x v="5"/>
    <x v="5"/>
    <s v="Cash Withdrawal"/>
    <x v="5"/>
    <n v="9250"/>
    <s v="Debit"/>
    <x v="0"/>
    <x v="6"/>
    <s v="Wed"/>
  </r>
  <r>
    <s v="TXN10225"/>
    <d v="2026-07-23T00:00:00"/>
    <s v="C1046"/>
    <s v="Aditya Gupta"/>
    <s v="Savings"/>
    <x v="0"/>
    <x v="5"/>
    <s v="Cash Withdrawal"/>
    <x v="4"/>
    <n v="4530"/>
    <s v="Debit"/>
    <x v="0"/>
    <x v="6"/>
    <s v="Thu"/>
  </r>
  <r>
    <s v="TXN10226"/>
    <d v="2026-07-23T00:00:00"/>
    <s v="C1055"/>
    <s v="Pooja Iyer"/>
    <s v="Savings"/>
    <x v="1"/>
    <x v="2"/>
    <s v="Dining"/>
    <x v="0"/>
    <n v="2890"/>
    <s v="Debit"/>
    <x v="0"/>
    <x v="6"/>
    <s v="Thu"/>
  </r>
  <r>
    <s v="TXN10227"/>
    <d v="2026-07-23T00:00:00"/>
    <s v="C1059"/>
    <s v="Imran Sharma"/>
    <s v="Current"/>
    <x v="2"/>
    <x v="5"/>
    <s v="Cash Withdrawal"/>
    <x v="5"/>
    <n v="31130"/>
    <s v="Debit"/>
    <x v="0"/>
    <x v="6"/>
    <s v="Thu"/>
  </r>
  <r>
    <s v="TXN10228"/>
    <d v="2026-07-25T00:00:00"/>
    <s v="C1058"/>
    <s v="Neha Menon"/>
    <s v="Salary"/>
    <x v="2"/>
    <x v="3"/>
    <s v="Interest Credit"/>
    <x v="0"/>
    <n v="43450"/>
    <s v="Credit"/>
    <x v="0"/>
    <x v="6"/>
    <s v="Sat"/>
  </r>
  <r>
    <s v="TXN10229"/>
    <d v="2026-07-25T00:00:00"/>
    <s v="C1053"/>
    <s v="Priya Nair"/>
    <s v="Salary"/>
    <x v="6"/>
    <x v="0"/>
    <s v="Personal Loan"/>
    <x v="0"/>
    <n v="23000"/>
    <s v="Debit"/>
    <x v="0"/>
    <x v="6"/>
    <s v="Sat"/>
  </r>
  <r>
    <s v="TXN10230"/>
    <d v="2026-07-26T00:00:00"/>
    <s v="C1008"/>
    <s v="Deepak Iyer"/>
    <s v="Current"/>
    <x v="0"/>
    <x v="2"/>
    <s v="Fuel"/>
    <x v="1"/>
    <n v="7540"/>
    <s v="Debit"/>
    <x v="0"/>
    <x v="6"/>
    <s v="Sun"/>
  </r>
  <r>
    <s v="TXN10231"/>
    <d v="2026-07-27T00:00:00"/>
    <s v="C1036"/>
    <s v="Divya Menon"/>
    <s v="Salary"/>
    <x v="2"/>
    <x v="2"/>
    <s v="Fuel"/>
    <x v="0"/>
    <n v="8750"/>
    <s v="Debit"/>
    <x v="0"/>
    <x v="6"/>
    <s v="Mon"/>
  </r>
  <r>
    <s v="TXN10232"/>
    <d v="2026-07-30T00:00:00"/>
    <s v="C1052"/>
    <s v="Rahul Kumar"/>
    <s v="Savings"/>
    <x v="5"/>
    <x v="4"/>
    <s v="Electricity"/>
    <x v="3"/>
    <n v="12220"/>
    <s v="Debit"/>
    <x v="0"/>
    <x v="6"/>
    <s v="Thu"/>
  </r>
  <r>
    <s v="TXN10233"/>
    <d v="2026-07-31T00:00:00"/>
    <s v="C1004"/>
    <s v="Neha Kumar"/>
    <s v="Savings"/>
    <x v="2"/>
    <x v="5"/>
    <s v="Cash Withdrawal"/>
    <x v="5"/>
    <n v="25090"/>
    <s v="Debit"/>
    <x v="0"/>
    <x v="6"/>
    <s v="Fri"/>
  </r>
  <r>
    <s v="TXN10234"/>
    <d v="2026-08-01T00:00:00"/>
    <s v="C1054"/>
    <s v="Anjali Patel"/>
    <s v="Savings"/>
    <x v="1"/>
    <x v="1"/>
    <s v="Business Payment"/>
    <x v="1"/>
    <n v="25130"/>
    <s v="Debit"/>
    <x v="0"/>
    <x v="7"/>
    <s v="Sat"/>
  </r>
  <r>
    <s v="TXN10235"/>
    <d v="2026-08-01T00:00:00"/>
    <s v="C1022"/>
    <s v="Rohit Kumar"/>
    <s v="Savings"/>
    <x v="5"/>
    <x v="2"/>
    <s v="Dining"/>
    <x v="1"/>
    <n v="8160"/>
    <s v="Debit"/>
    <x v="0"/>
    <x v="7"/>
    <s v="Sat"/>
  </r>
  <r>
    <s v="TXN10236"/>
    <d v="2026-08-01T00:00:00"/>
    <s v="C1042"/>
    <s v="Anjali Gupta"/>
    <s v="Savings"/>
    <x v="6"/>
    <x v="3"/>
    <s v="Cheque Deposit"/>
    <x v="0"/>
    <n v="141160"/>
    <s v="Credit"/>
    <x v="0"/>
    <x v="7"/>
    <s v="Sat"/>
  </r>
  <r>
    <s v="TXN10237"/>
    <d v="2026-08-01T00:00:00"/>
    <s v="C1047"/>
    <s v="Pooja Reddy"/>
    <s v="Current"/>
    <x v="3"/>
    <x v="3"/>
    <s v="Interest Credit"/>
    <x v="1"/>
    <n v="41960"/>
    <s v="Credit"/>
    <x v="1"/>
    <x v="7"/>
    <s v="Sat"/>
  </r>
  <r>
    <s v="TXN10238"/>
    <d v="2026-08-02T00:00:00"/>
    <s v="C1039"/>
    <s v="Kavya Iyer"/>
    <s v="Salary"/>
    <x v="2"/>
    <x v="4"/>
    <s v="Water &amp; Gas"/>
    <x v="3"/>
    <n v="3620"/>
    <s v="Debit"/>
    <x v="0"/>
    <x v="7"/>
    <s v="Sun"/>
  </r>
  <r>
    <s v="TXN10239"/>
    <d v="2026-08-02T00:00:00"/>
    <s v="C1019"/>
    <s v="Suresh Sharma"/>
    <s v="Salary"/>
    <x v="4"/>
    <x v="3"/>
    <s v="Interest Credit"/>
    <x v="0"/>
    <n v="29920"/>
    <s v="Credit"/>
    <x v="1"/>
    <x v="7"/>
    <s v="Sun"/>
  </r>
  <r>
    <s v="TXN10240"/>
    <d v="2026-08-02T00:00:00"/>
    <s v="C1027"/>
    <s v="Anjali Das"/>
    <s v="Salary"/>
    <x v="3"/>
    <x v="3"/>
    <s v="Cheque Deposit"/>
    <x v="1"/>
    <n v="73660"/>
    <s v="Credit"/>
    <x v="0"/>
    <x v="7"/>
    <s v="Sun"/>
  </r>
  <r>
    <s v="TXN10241"/>
    <d v="2026-08-03T00:00:00"/>
    <s v="C1010"/>
    <s v="Sneha Sharma"/>
    <s v="Savings"/>
    <x v="0"/>
    <x v="1"/>
    <s v="Business Payment"/>
    <x v="0"/>
    <n v="41630"/>
    <s v="Debit"/>
    <x v="0"/>
    <x v="7"/>
    <s v="Mon"/>
  </r>
  <r>
    <s v="TXN10242"/>
    <d v="2026-08-04T00:00:00"/>
    <s v="C1025"/>
    <s v="Imran Menon"/>
    <s v="Salary"/>
    <x v="0"/>
    <x v="2"/>
    <s v="Fuel"/>
    <x v="1"/>
    <n v="28390"/>
    <s v="Debit"/>
    <x v="0"/>
    <x v="7"/>
    <s v="Tue"/>
  </r>
  <r>
    <s v="TXN10243"/>
    <d v="2026-08-04T00:00:00"/>
    <s v="C1017"/>
    <s v="Suresh Menon"/>
    <s v="Savings"/>
    <x v="7"/>
    <x v="2"/>
    <s v="Dining"/>
    <x v="0"/>
    <n v="780"/>
    <s v="Debit"/>
    <x v="0"/>
    <x v="7"/>
    <s v="Tue"/>
  </r>
  <r>
    <s v="TXN10244"/>
    <d v="2026-08-05T00:00:00"/>
    <s v="C1056"/>
    <s v="Lakshmi Singh"/>
    <s v="Savings"/>
    <x v="5"/>
    <x v="2"/>
    <s v="Dining"/>
    <x v="2"/>
    <n v="29060"/>
    <s v="Debit"/>
    <x v="0"/>
    <x v="7"/>
    <s v="Wed"/>
  </r>
  <r>
    <s v="TXN10245"/>
    <d v="2026-08-05T00:00:00"/>
    <s v="C1033"/>
    <s v="Ganesh Das"/>
    <s v="Salary"/>
    <x v="3"/>
    <x v="1"/>
    <s v="Investment"/>
    <x v="1"/>
    <n v="31580"/>
    <s v="Debit"/>
    <x v="1"/>
    <x v="7"/>
    <s v="Wed"/>
  </r>
  <r>
    <s v="TXN10246"/>
    <d v="2026-08-06T00:00:00"/>
    <s v="C1015"/>
    <s v="Rahul Kumar"/>
    <s v="Current"/>
    <x v="5"/>
    <x v="3"/>
    <s v="Salary Credit"/>
    <x v="5"/>
    <n v="72360"/>
    <s v="Credit"/>
    <x v="0"/>
    <x v="7"/>
    <s v="Thu"/>
  </r>
  <r>
    <s v="TXN10247"/>
    <d v="2026-08-06T00:00:00"/>
    <s v="C1006"/>
    <s v="Vikram Das"/>
    <s v="Savings"/>
    <x v="0"/>
    <x v="1"/>
    <s v="Family Transfer"/>
    <x v="0"/>
    <n v="55000"/>
    <s v="Debit"/>
    <x v="0"/>
    <x v="7"/>
    <s v="Thu"/>
  </r>
  <r>
    <s v="TXN10248"/>
    <d v="2026-08-07T00:00:00"/>
    <s v="C1036"/>
    <s v="Divya Menon"/>
    <s v="Salary"/>
    <x v="2"/>
    <x v="3"/>
    <s v="Cheque Deposit"/>
    <x v="1"/>
    <n v="136070"/>
    <s v="Credit"/>
    <x v="0"/>
    <x v="7"/>
    <s v="Fri"/>
  </r>
  <r>
    <s v="TXN10249"/>
    <d v="2026-08-07T00:00:00"/>
    <s v="C1033"/>
    <s v="Ganesh Das"/>
    <s v="Salary"/>
    <x v="3"/>
    <x v="5"/>
    <s v="Cash Withdrawal"/>
    <x v="5"/>
    <n v="26940"/>
    <s v="Debit"/>
    <x v="0"/>
    <x v="7"/>
    <s v="Fri"/>
  </r>
  <r>
    <s v="TXN10250"/>
    <d v="2026-08-10T00:00:00"/>
    <s v="C1033"/>
    <s v="Ganesh Das"/>
    <s v="Salary"/>
    <x v="3"/>
    <x v="2"/>
    <s v="Dining"/>
    <x v="2"/>
    <n v="24980"/>
    <s v="Debit"/>
    <x v="0"/>
    <x v="7"/>
    <s v="Mon"/>
  </r>
  <r>
    <s v="TXN10251"/>
    <d v="2026-08-12T00:00:00"/>
    <s v="C1002"/>
    <s v="Suresh Reddy"/>
    <s v="Savings"/>
    <x v="5"/>
    <x v="1"/>
    <s v="Business Payment"/>
    <x v="0"/>
    <n v="86350"/>
    <s v="Debit"/>
    <x v="0"/>
    <x v="7"/>
    <s v="Wed"/>
  </r>
  <r>
    <s v="TXN10252"/>
    <d v="2026-08-13T00:00:00"/>
    <s v="C1054"/>
    <s v="Anjali Patel"/>
    <s v="Savings"/>
    <x v="1"/>
    <x v="1"/>
    <s v="Family Transfer"/>
    <x v="1"/>
    <n v="61560"/>
    <s v="Debit"/>
    <x v="2"/>
    <x v="7"/>
    <s v="Thu"/>
  </r>
  <r>
    <s v="TXN10253"/>
    <d v="2026-08-13T00:00:00"/>
    <s v="C1008"/>
    <s v="Deepak Iyer"/>
    <s v="Current"/>
    <x v="0"/>
    <x v="1"/>
    <s v="Business Payment"/>
    <x v="1"/>
    <n v="70270"/>
    <s v="Debit"/>
    <x v="1"/>
    <x v="7"/>
    <s v="Thu"/>
  </r>
  <r>
    <s v="TXN10254"/>
    <d v="2026-08-13T00:00:00"/>
    <s v="C1006"/>
    <s v="Vikram Das"/>
    <s v="Savings"/>
    <x v="0"/>
    <x v="4"/>
    <s v="Electricity"/>
    <x v="1"/>
    <n v="11100"/>
    <s v="Debit"/>
    <x v="0"/>
    <x v="7"/>
    <s v="Thu"/>
  </r>
  <r>
    <s v="TXN10255"/>
    <d v="2026-08-13T00:00:00"/>
    <s v="C1003"/>
    <s v="Nisha Sharma"/>
    <s v="Salary"/>
    <x v="6"/>
    <x v="1"/>
    <s v="Investment"/>
    <x v="3"/>
    <n v="72240"/>
    <s v="Debit"/>
    <x v="1"/>
    <x v="7"/>
    <s v="Thu"/>
  </r>
  <r>
    <s v="TXN10256"/>
    <d v="2026-08-15T00:00:00"/>
    <s v="C1040"/>
    <s v="Rohit Menon"/>
    <s v="Savings"/>
    <x v="2"/>
    <x v="2"/>
    <s v="Travel"/>
    <x v="1"/>
    <n v="12920"/>
    <s v="Debit"/>
    <x v="0"/>
    <x v="7"/>
    <s v="Sat"/>
  </r>
  <r>
    <s v="TXN10257"/>
    <d v="2026-08-15T00:00:00"/>
    <s v="C1020"/>
    <s v="Nisha Reddy"/>
    <s v="Current"/>
    <x v="4"/>
    <x v="2"/>
    <s v="Fuel"/>
    <x v="0"/>
    <n v="9300"/>
    <s v="Debit"/>
    <x v="0"/>
    <x v="7"/>
    <s v="Sat"/>
  </r>
  <r>
    <s v="TXN10258"/>
    <d v="2026-08-18T00:00:00"/>
    <s v="C1015"/>
    <s v="Rahul Kumar"/>
    <s v="Current"/>
    <x v="5"/>
    <x v="1"/>
    <s v="Rent"/>
    <x v="1"/>
    <n v="96590"/>
    <s v="Debit"/>
    <x v="0"/>
    <x v="7"/>
    <s v="Tue"/>
  </r>
  <r>
    <s v="TXN10259"/>
    <d v="2026-08-18T00:00:00"/>
    <s v="C1040"/>
    <s v="Rohit Menon"/>
    <s v="Savings"/>
    <x v="2"/>
    <x v="3"/>
    <s v="Interest Credit"/>
    <x v="0"/>
    <n v="36270"/>
    <s v="Credit"/>
    <x v="0"/>
    <x v="7"/>
    <s v="Tue"/>
  </r>
  <r>
    <s v="TXN10260"/>
    <d v="2026-08-19T00:00:00"/>
    <s v="C1059"/>
    <s v="Imran Sharma"/>
    <s v="Current"/>
    <x v="2"/>
    <x v="2"/>
    <s v="Fuel"/>
    <x v="1"/>
    <n v="5810"/>
    <s v="Debit"/>
    <x v="0"/>
    <x v="7"/>
    <s v="Wed"/>
  </r>
  <r>
    <s v="TXN10261"/>
    <d v="2026-08-19T00:00:00"/>
    <s v="C1024"/>
    <s v="Vikram Gupta"/>
    <s v="Savings"/>
    <x v="7"/>
    <x v="1"/>
    <s v="Business Payment"/>
    <x v="0"/>
    <n v="57820"/>
    <s v="Debit"/>
    <x v="0"/>
    <x v="7"/>
    <s v="Wed"/>
  </r>
  <r>
    <s v="TXN10262"/>
    <d v="2026-08-20T00:00:00"/>
    <s v="C1003"/>
    <s v="Nisha Sharma"/>
    <s v="Salary"/>
    <x v="6"/>
    <x v="3"/>
    <s v="Salary Credit"/>
    <x v="4"/>
    <n v="98480"/>
    <s v="Credit"/>
    <x v="2"/>
    <x v="7"/>
    <s v="Thu"/>
  </r>
  <r>
    <s v="TXN10263"/>
    <d v="2026-08-22T00:00:00"/>
    <s v="C1009"/>
    <s v="Suresh Iyer"/>
    <s v="Current"/>
    <x v="5"/>
    <x v="2"/>
    <s v="Dining"/>
    <x v="1"/>
    <n v="16030"/>
    <s v="Debit"/>
    <x v="0"/>
    <x v="7"/>
    <s v="Sat"/>
  </r>
  <r>
    <s v="TXN10264"/>
    <d v="2026-08-22T00:00:00"/>
    <s v="C1060"/>
    <s v="Nisha Nair"/>
    <s v="Savings"/>
    <x v="6"/>
    <x v="5"/>
    <s v="Cash Withdrawal"/>
    <x v="4"/>
    <n v="39240"/>
    <s v="Debit"/>
    <x v="0"/>
    <x v="7"/>
    <s v="Sat"/>
  </r>
  <r>
    <s v="TXN10265"/>
    <d v="2026-08-27T00:00:00"/>
    <s v="C1028"/>
    <s v="Ramesh Singh"/>
    <s v="Current"/>
    <x v="0"/>
    <x v="2"/>
    <s v="Groceries"/>
    <x v="1"/>
    <n v="8200"/>
    <s v="Debit"/>
    <x v="0"/>
    <x v="7"/>
    <s v="Thu"/>
  </r>
  <r>
    <s v="TXN10266"/>
    <d v="2026-08-30T00:00:00"/>
    <s v="C1003"/>
    <s v="Nisha Sharma"/>
    <s v="Salary"/>
    <x v="6"/>
    <x v="5"/>
    <s v="Cash Withdrawal"/>
    <x v="4"/>
    <n v="30870"/>
    <s v="Debit"/>
    <x v="0"/>
    <x v="7"/>
    <s v="Sun"/>
  </r>
  <r>
    <s v="TXN10267"/>
    <d v="2026-08-31T00:00:00"/>
    <s v="C1034"/>
    <s v="Arun Sharma"/>
    <s v="Salary"/>
    <x v="3"/>
    <x v="1"/>
    <s v="Investment"/>
    <x v="3"/>
    <n v="89420"/>
    <s v="Debit"/>
    <x v="0"/>
    <x v="7"/>
    <s v="Mon"/>
  </r>
  <r>
    <s v="TXN10268"/>
    <d v="2026-08-31T00:00:00"/>
    <s v="C1017"/>
    <s v="Suresh Menon"/>
    <s v="Savings"/>
    <x v="7"/>
    <x v="2"/>
    <s v="Fuel"/>
    <x v="1"/>
    <n v="17410"/>
    <s v="Debit"/>
    <x v="0"/>
    <x v="7"/>
    <s v="Mon"/>
  </r>
  <r>
    <s v="TXN10269"/>
    <d v="2026-09-01T00:00:00"/>
    <s v="C1029"/>
    <s v="Anjali Iyer"/>
    <s v="Savings"/>
    <x v="1"/>
    <x v="0"/>
    <s v="Home Loan"/>
    <x v="3"/>
    <n v="29000"/>
    <s v="Debit"/>
    <x v="0"/>
    <x v="8"/>
    <s v="Tue"/>
  </r>
  <r>
    <s v="TXN10270"/>
    <d v="2026-09-02T00:00:00"/>
    <s v="C1042"/>
    <s v="Anjali Gupta"/>
    <s v="Savings"/>
    <x v="6"/>
    <x v="5"/>
    <s v="Cash Withdrawal"/>
    <x v="5"/>
    <n v="13190"/>
    <s v="Debit"/>
    <x v="0"/>
    <x v="8"/>
    <s v="Wed"/>
  </r>
  <r>
    <s v="TXN10271"/>
    <d v="2026-09-02T00:00:00"/>
    <s v="C1021"/>
    <s v="Manoj Patel"/>
    <s v="Salary"/>
    <x v="5"/>
    <x v="2"/>
    <s v="Dining"/>
    <x v="2"/>
    <n v="7970"/>
    <s v="Debit"/>
    <x v="0"/>
    <x v="8"/>
    <s v="Wed"/>
  </r>
  <r>
    <s v="TXN10272"/>
    <d v="2026-09-02T00:00:00"/>
    <s v="C1010"/>
    <s v="Sneha Sharma"/>
    <s v="Savings"/>
    <x v="0"/>
    <x v="1"/>
    <s v="Business Payment"/>
    <x v="3"/>
    <n v="37990"/>
    <s v="Debit"/>
    <x v="0"/>
    <x v="8"/>
    <s v="Wed"/>
  </r>
  <r>
    <s v="TXN10273"/>
    <d v="2026-09-03T00:00:00"/>
    <s v="C1041"/>
    <s v="Kavya Patel"/>
    <s v="Savings"/>
    <x v="5"/>
    <x v="5"/>
    <s v="Cash Withdrawal"/>
    <x v="4"/>
    <n v="2990"/>
    <s v="Debit"/>
    <x v="0"/>
    <x v="8"/>
    <s v="Thu"/>
  </r>
  <r>
    <s v="TXN10274"/>
    <d v="2026-09-03T00:00:00"/>
    <s v="C1011"/>
    <s v="Kavya Nair"/>
    <s v="Savings"/>
    <x v="3"/>
    <x v="1"/>
    <s v="Rent"/>
    <x v="3"/>
    <n v="62350"/>
    <s v="Debit"/>
    <x v="0"/>
    <x v="8"/>
    <s v="Thu"/>
  </r>
  <r>
    <s v="TXN10275"/>
    <d v="2026-09-03T00:00:00"/>
    <s v="C1014"/>
    <s v="Swathi Nair"/>
    <s v="Salary"/>
    <x v="5"/>
    <x v="5"/>
    <s v="Cash Withdrawal"/>
    <x v="5"/>
    <n v="37350"/>
    <s v="Debit"/>
    <x v="0"/>
    <x v="8"/>
    <s v="Thu"/>
  </r>
  <r>
    <s v="TXN10276"/>
    <d v="2026-09-05T00:00:00"/>
    <s v="C1013"/>
    <s v="Rahul Das"/>
    <s v="Salary"/>
    <x v="3"/>
    <x v="2"/>
    <s v="Dining"/>
    <x v="0"/>
    <n v="16830"/>
    <s v="Debit"/>
    <x v="0"/>
    <x v="8"/>
    <s v="Sat"/>
  </r>
  <r>
    <s v="TXN10277"/>
    <d v="2026-09-06T00:00:00"/>
    <s v="C1013"/>
    <s v="Rahul Das"/>
    <s v="Salary"/>
    <x v="3"/>
    <x v="5"/>
    <s v="Cash Withdrawal"/>
    <x v="4"/>
    <n v="6620"/>
    <s v="Debit"/>
    <x v="0"/>
    <x v="8"/>
    <s v="Sun"/>
  </r>
  <r>
    <s v="TXN10278"/>
    <d v="2026-09-08T00:00:00"/>
    <s v="C1056"/>
    <s v="Lakshmi Singh"/>
    <s v="Savings"/>
    <x v="5"/>
    <x v="3"/>
    <s v="Interest Credit"/>
    <x v="0"/>
    <n v="53200"/>
    <s v="Credit"/>
    <x v="0"/>
    <x v="8"/>
    <s v="Tue"/>
  </r>
  <r>
    <s v="TXN10279"/>
    <d v="2026-09-09T00:00:00"/>
    <s v="C1029"/>
    <s v="Anjali Iyer"/>
    <s v="Savings"/>
    <x v="1"/>
    <x v="0"/>
    <s v="Home Loan"/>
    <x v="0"/>
    <n v="17000"/>
    <s v="Debit"/>
    <x v="0"/>
    <x v="8"/>
    <s v="Wed"/>
  </r>
  <r>
    <s v="TXN10280"/>
    <d v="2026-09-09T00:00:00"/>
    <s v="C1013"/>
    <s v="Rahul Das"/>
    <s v="Salary"/>
    <x v="3"/>
    <x v="3"/>
    <s v="Salary Credit"/>
    <x v="3"/>
    <n v="30040"/>
    <s v="Credit"/>
    <x v="0"/>
    <x v="8"/>
    <s v="Wed"/>
  </r>
  <r>
    <s v="TXN10281"/>
    <d v="2026-09-11T00:00:00"/>
    <s v="C1026"/>
    <s v="Ganesh Iyer"/>
    <s v="Savings"/>
    <x v="3"/>
    <x v="5"/>
    <s v="Cash Withdrawal"/>
    <x v="4"/>
    <n v="35760"/>
    <s v="Debit"/>
    <x v="0"/>
    <x v="8"/>
    <s v="Fri"/>
  </r>
  <r>
    <s v="TXN10282"/>
    <d v="2026-09-11T00:00:00"/>
    <s v="C1004"/>
    <s v="Neha Kumar"/>
    <s v="Savings"/>
    <x v="2"/>
    <x v="2"/>
    <s v="Dining"/>
    <x v="1"/>
    <n v="20210"/>
    <s v="Debit"/>
    <x v="0"/>
    <x v="8"/>
    <s v="Fri"/>
  </r>
  <r>
    <s v="TXN10283"/>
    <d v="2026-09-12T00:00:00"/>
    <s v="C1054"/>
    <s v="Anjali Patel"/>
    <s v="Savings"/>
    <x v="1"/>
    <x v="2"/>
    <s v="Dining"/>
    <x v="0"/>
    <n v="23320"/>
    <s v="Debit"/>
    <x v="0"/>
    <x v="8"/>
    <s v="Sat"/>
  </r>
  <r>
    <s v="TXN10284"/>
    <d v="2026-09-13T00:00:00"/>
    <s v="C1057"/>
    <s v="Sneha Singh"/>
    <s v="Current"/>
    <x v="7"/>
    <x v="5"/>
    <s v="Cash Withdrawal"/>
    <x v="4"/>
    <n v="4060"/>
    <s v="Debit"/>
    <x v="0"/>
    <x v="8"/>
    <s v="Sun"/>
  </r>
  <r>
    <s v="TXN10285"/>
    <d v="2026-09-14T00:00:00"/>
    <s v="C1036"/>
    <s v="Divya Menon"/>
    <s v="Salary"/>
    <x v="2"/>
    <x v="2"/>
    <s v="Groceries"/>
    <x v="0"/>
    <n v="2350"/>
    <s v="Debit"/>
    <x v="0"/>
    <x v="8"/>
    <s v="Mon"/>
  </r>
  <r>
    <s v="TXN10286"/>
    <d v="2026-09-15T00:00:00"/>
    <s v="C1034"/>
    <s v="Arun Sharma"/>
    <s v="Salary"/>
    <x v="3"/>
    <x v="1"/>
    <s v="Rent"/>
    <x v="0"/>
    <n v="81870"/>
    <s v="Debit"/>
    <x v="0"/>
    <x v="8"/>
    <s v="Tue"/>
  </r>
  <r>
    <s v="TXN10287"/>
    <d v="2026-09-15T00:00:00"/>
    <s v="C1042"/>
    <s v="Anjali Gupta"/>
    <s v="Savings"/>
    <x v="6"/>
    <x v="3"/>
    <s v="Cheque Deposit"/>
    <x v="1"/>
    <n v="29820"/>
    <s v="Credit"/>
    <x v="0"/>
    <x v="8"/>
    <s v="Tue"/>
  </r>
  <r>
    <s v="TXN10288"/>
    <d v="2026-09-16T00:00:00"/>
    <s v="C1032"/>
    <s v="Rahul Singh"/>
    <s v="Salary"/>
    <x v="0"/>
    <x v="5"/>
    <s v="Cash Withdrawal"/>
    <x v="4"/>
    <n v="4150"/>
    <s v="Debit"/>
    <x v="0"/>
    <x v="8"/>
    <s v="Wed"/>
  </r>
  <r>
    <s v="TXN10289"/>
    <d v="2026-09-17T00:00:00"/>
    <s v="C1017"/>
    <s v="Suresh Menon"/>
    <s v="Savings"/>
    <x v="7"/>
    <x v="3"/>
    <s v="Cash Deposit"/>
    <x v="5"/>
    <n v="132490"/>
    <s v="Credit"/>
    <x v="0"/>
    <x v="8"/>
    <s v="Thu"/>
  </r>
  <r>
    <s v="TXN10290"/>
    <d v="2026-09-17T00:00:00"/>
    <s v="C1025"/>
    <s v="Imran Menon"/>
    <s v="Salary"/>
    <x v="0"/>
    <x v="1"/>
    <s v="Family Transfer"/>
    <x v="3"/>
    <n v="95470"/>
    <s v="Debit"/>
    <x v="0"/>
    <x v="8"/>
    <s v="Thu"/>
  </r>
  <r>
    <s v="TXN10291"/>
    <d v="2026-09-17T00:00:00"/>
    <s v="C1050"/>
    <s v="Rahul Nair"/>
    <s v="Salary"/>
    <x v="2"/>
    <x v="1"/>
    <s v="Investment"/>
    <x v="3"/>
    <n v="88480"/>
    <s v="Debit"/>
    <x v="0"/>
    <x v="8"/>
    <s v="Thu"/>
  </r>
  <r>
    <s v="TXN10292"/>
    <d v="2026-09-18T00:00:00"/>
    <s v="C1006"/>
    <s v="Vikram Das"/>
    <s v="Savings"/>
    <x v="0"/>
    <x v="2"/>
    <s v="Shopping"/>
    <x v="2"/>
    <n v="17930"/>
    <s v="Debit"/>
    <x v="0"/>
    <x v="8"/>
    <s v="Fri"/>
  </r>
  <r>
    <s v="TXN10293"/>
    <d v="2026-09-18T00:00:00"/>
    <s v="C1035"/>
    <s v="Rohit Sharma"/>
    <s v="Current"/>
    <x v="3"/>
    <x v="1"/>
    <s v="Investment"/>
    <x v="3"/>
    <n v="30680"/>
    <s v="Debit"/>
    <x v="0"/>
    <x v="8"/>
    <s v="Fri"/>
  </r>
  <r>
    <s v="TXN10294"/>
    <d v="2026-09-19T00:00:00"/>
    <s v="C1041"/>
    <s v="Kavya Patel"/>
    <s v="Savings"/>
    <x v="5"/>
    <x v="3"/>
    <s v="Cash Deposit"/>
    <x v="0"/>
    <n v="55910"/>
    <s v="Credit"/>
    <x v="1"/>
    <x v="8"/>
    <s v="Sat"/>
  </r>
  <r>
    <s v="TXN10295"/>
    <d v="2026-09-21T00:00:00"/>
    <s v="C1026"/>
    <s v="Ganesh Iyer"/>
    <s v="Savings"/>
    <x v="3"/>
    <x v="2"/>
    <s v="Shopping"/>
    <x v="1"/>
    <n v="14310"/>
    <s v="Debit"/>
    <x v="0"/>
    <x v="8"/>
    <s v="Mon"/>
  </r>
  <r>
    <s v="TXN10296"/>
    <d v="2026-09-21T00:00:00"/>
    <s v="C1036"/>
    <s v="Divya Menon"/>
    <s v="Salary"/>
    <x v="2"/>
    <x v="3"/>
    <s v="Salary Credit"/>
    <x v="5"/>
    <n v="43780"/>
    <s v="Credit"/>
    <x v="0"/>
    <x v="8"/>
    <s v="Mon"/>
  </r>
  <r>
    <s v="TXN10297"/>
    <d v="2026-09-24T00:00:00"/>
    <s v="C1032"/>
    <s v="Rahul Singh"/>
    <s v="Salary"/>
    <x v="0"/>
    <x v="4"/>
    <s v="Mobile Recharge"/>
    <x v="1"/>
    <n v="6770"/>
    <s v="Debit"/>
    <x v="0"/>
    <x v="8"/>
    <s v="Thu"/>
  </r>
  <r>
    <s v="TXN10298"/>
    <d v="2026-09-26T00:00:00"/>
    <s v="C1032"/>
    <s v="Rahul Singh"/>
    <s v="Salary"/>
    <x v="0"/>
    <x v="2"/>
    <s v="Shopping"/>
    <x v="2"/>
    <n v="25560"/>
    <s v="Debit"/>
    <x v="0"/>
    <x v="8"/>
    <s v="Sat"/>
  </r>
  <r>
    <s v="TXN10299"/>
    <d v="2026-09-27T00:00:00"/>
    <s v="C1043"/>
    <s v="Nisha Menon"/>
    <s v="Salary"/>
    <x v="6"/>
    <x v="5"/>
    <s v="Cash Withdrawal"/>
    <x v="4"/>
    <n v="16110"/>
    <s v="Debit"/>
    <x v="0"/>
    <x v="8"/>
    <s v="Sun"/>
  </r>
  <r>
    <s v="TXN10300"/>
    <d v="2026-09-29T00:00:00"/>
    <s v="C1027"/>
    <s v="Anjali Das"/>
    <s v="Salary"/>
    <x v="3"/>
    <x v="4"/>
    <s v="Water &amp; Gas"/>
    <x v="0"/>
    <n v="2800"/>
    <s v="Debit"/>
    <x v="0"/>
    <x v="8"/>
    <s v="Tu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EACBA-65B9-41BF-B064-04792F5381DD}" name="PivotTable6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1:J22" firstHeaderRow="0" firstDataRow="1" firstDataCol="0"/>
  <pivotFields count="14">
    <pivotField dataField="1" showAll="0"/>
    <pivotField numFmtId="168" showAll="0"/>
    <pivotField showAll="0"/>
    <pivotField showAll="0"/>
    <pivotField showAll="0"/>
    <pivotField showAll="0"/>
    <pivotField showAll="0">
      <items count="7">
        <item x="4"/>
        <item x="2"/>
        <item x="3"/>
        <item x="0"/>
        <item x="1"/>
        <item x="5"/>
        <item t="default"/>
      </items>
    </pivotField>
    <pivotField showAll="0"/>
    <pivotField showAll="0">
      <items count="7">
        <item x="4"/>
        <item x="5"/>
        <item x="1"/>
        <item x="0"/>
        <item x="2"/>
        <item x="3"/>
        <item t="default"/>
      </items>
    </pivotField>
    <pivotField dataField="1" numFmtId="3"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Count of Transaction ID" fld="0" subtotal="count" baseField="0" baseItem="0"/>
    <dataField name="Sum of Amount (INR)" fld="9" baseField="0" baseItem="0" numFmtId="3"/>
  </dataFields>
  <formats count="5">
    <format dxfId="0">
      <pivotArea type="all" dataOnly="0" outline="0" fieldPosition="0"/>
    </format>
    <format dxfId="1">
      <pivotArea outline="0" collapsedLevelsAreSubtotals="1" fieldPosition="0"/>
    </format>
    <format dxfId="2">
      <pivotArea field="11" type="button" dataOnly="0" labelOnly="1" outline="0"/>
    </format>
    <format dxfId="3">
      <pivotArea dataOnly="0" labelOnly="1" grandRow="1" outline="0" fieldPosition="0"/>
    </format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5611E9-7ABE-4885-BC52-04A5F49551B9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E21:F28" firstHeaderRow="1" firstDataRow="1" firstDataCol="1"/>
  <pivotFields count="14">
    <pivotField showAll="0"/>
    <pivotField numFmtId="168" showAll="0"/>
    <pivotField showAll="0"/>
    <pivotField showAll="0"/>
    <pivotField showAll="0"/>
    <pivotField showAll="0"/>
    <pivotField axis="axisRow" showAll="0">
      <items count="7">
        <item x="4"/>
        <item x="2"/>
        <item x="3"/>
        <item x="0"/>
        <item x="1"/>
        <item x="5"/>
        <item t="default"/>
      </items>
    </pivotField>
    <pivotField showAll="0"/>
    <pivotField showAll="0">
      <items count="7">
        <item x="4"/>
        <item x="5"/>
        <item x="1"/>
        <item x="0"/>
        <item x="2"/>
        <item x="3"/>
        <item t="default"/>
      </items>
    </pivotField>
    <pivotField dataField="1" numFmtId="3"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mount (INR)" fld="9" baseField="0" baseItem="0" numFmtId="3"/>
  </dataFields>
  <formats count="5">
    <format dxfId="5">
      <pivotArea type="all" dataOnly="0" outline="0" fieldPosition="0"/>
    </format>
    <format dxfId="6">
      <pivotArea outline="0" collapsedLevelsAreSubtotals="1" fieldPosition="0"/>
    </format>
    <format dxfId="7">
      <pivotArea field="11" type="button" dataOnly="0" labelOnly="1" outline="0"/>
    </format>
    <format dxfId="8">
      <pivotArea dataOnly="0" labelOnly="1" grandRow="1" outline="0" fieldPosition="0"/>
    </format>
    <format dxfId="9">
      <pivotArea dataOnly="0" labelOnly="1" outline="0" axis="axisValues" fieldPosition="0"/>
    </format>
  </formats>
  <chartFormats count="2">
    <chartFormat chart="2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3F0A92-EBA1-47C1-A3EB-54EE544DC759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21:B28" firstHeaderRow="1" firstDataRow="1" firstDataCol="1"/>
  <pivotFields count="14">
    <pivotField dataField="1" showAll="0"/>
    <pivotField numFmtId="168"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5"/>
        <item x="1"/>
        <item x="0"/>
        <item x="2"/>
        <item x="3"/>
        <item t="default"/>
      </items>
    </pivotField>
    <pivotField numFmtId="3"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Transaction ID" fld="0" subtotal="count" baseField="0" baseItem="0"/>
  </dataFields>
  <formats count="5">
    <format dxfId="10">
      <pivotArea type="all" dataOnly="0" outline="0" fieldPosition="0"/>
    </format>
    <format dxfId="11">
      <pivotArea outline="0" collapsedLevelsAreSubtotals="1" fieldPosition="0"/>
    </format>
    <format dxfId="12">
      <pivotArea field="11" type="button" dataOnly="0" labelOnly="1" outline="0"/>
    </format>
    <format dxfId="13">
      <pivotArea dataOnly="0" labelOnly="1" grandRow="1" outline="0" fieldPosition="0"/>
    </format>
    <format dxfId="14">
      <pivotArea dataOnly="0" labelOnly="1" outline="0" axis="axisValues" fieldPosition="0"/>
    </format>
  </formats>
  <chartFormats count="1">
    <chartFormat chart="1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D4E866-850C-42D1-9E26-D859A9CE125F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J3:K12" firstHeaderRow="1" firstDataRow="1" firstDataCol="1"/>
  <pivotFields count="14">
    <pivotField showAll="0"/>
    <pivotField numFmtId="168" showAll="0"/>
    <pivotField showAll="0"/>
    <pivotField showAll="0"/>
    <pivotField showAll="0"/>
    <pivotField axis="axisRow" showAll="0">
      <items count="9">
        <item x="1"/>
        <item x="5"/>
        <item x="2"/>
        <item x="4"/>
        <item x="3"/>
        <item x="7"/>
        <item x="6"/>
        <item x="0"/>
        <item t="default"/>
      </items>
    </pivotField>
    <pivotField showAll="0"/>
    <pivotField showAll="0"/>
    <pivotField showAll="0"/>
    <pivotField dataField="1" numFmtId="3" showAll="0"/>
    <pivotField showAll="0"/>
    <pivotField showAll="0">
      <items count="4">
        <item x="1"/>
        <item x="2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Amount (INR)" fld="9" baseField="0" baseItem="0" numFmtId="3"/>
  </dataFields>
  <formats count="5">
    <format dxfId="15">
      <pivotArea type="all" dataOnly="0" outline="0" fieldPosition="0"/>
    </format>
    <format dxfId="16">
      <pivotArea outline="0" collapsedLevelsAreSubtotals="1" fieldPosition="0"/>
    </format>
    <format dxfId="17">
      <pivotArea field="11" type="button" dataOnly="0" labelOnly="1" outline="0"/>
    </format>
    <format dxfId="18">
      <pivotArea dataOnly="0" labelOnly="1" grandRow="1" outline="0" fieldPosition="0"/>
    </format>
    <format dxfId="19">
      <pivotArea dataOnly="0" labelOnly="1" outline="0" axis="axisValues" fieldPosition="0"/>
    </format>
  </formats>
  <chartFormats count="1">
    <chartFormat chart="1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3C6E5C-1973-49AE-9E03-0EEBB766F1F3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F3:G13" firstHeaderRow="1" firstDataRow="1" firstDataCol="1"/>
  <pivotFields count="14">
    <pivotField showAll="0"/>
    <pivotField numFmtId="168" showAll="0"/>
    <pivotField showAll="0"/>
    <pivotField showAll="0"/>
    <pivotField showAll="0"/>
    <pivotField showAll="0"/>
    <pivotField showAll="0"/>
    <pivotField showAll="0"/>
    <pivotField showAll="0"/>
    <pivotField dataField="1" numFmtId="3" showAll="0"/>
    <pivotField showAll="0"/>
    <pivotField showAll="0">
      <items count="4">
        <item x="1"/>
        <item x="2"/>
        <item x="0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</pivotFields>
  <rowFields count="1">
    <field x="1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Amount (INR)" fld="9" baseField="0" baseItem="0" numFmtId="3"/>
  </dataFields>
  <formats count="5">
    <format dxfId="20">
      <pivotArea type="all" dataOnly="0" outline="0" fieldPosition="0"/>
    </format>
    <format dxfId="21">
      <pivotArea outline="0" collapsedLevelsAreSubtotals="1" fieldPosition="0"/>
    </format>
    <format dxfId="22">
      <pivotArea field="11" type="button" dataOnly="0" labelOnly="1" outline="0"/>
    </format>
    <format dxfId="23">
      <pivotArea dataOnly="0" labelOnly="1" grandRow="1" outline="0" fieldPosition="0"/>
    </format>
    <format dxfId="24">
      <pivotArea dataOnly="0" labelOnly="1" outline="0" axis="axisValues" fieldPosition="0"/>
    </format>
  </formats>
  <chartFormats count="1"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7ECC65-B307-4039-9EBD-3D6CB020176B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7" firstHeaderRow="1" firstDataRow="1" firstDataCol="1"/>
  <pivotFields count="14">
    <pivotField dataField="1" showAll="0"/>
    <pivotField numFmtId="168"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ransaction ID" fld="0" subtotal="count" baseField="0" baseItem="0"/>
  </dataFields>
  <formats count="6"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11" type="button" dataOnly="0" labelOnly="1" outline="0" axis="axisRow" fieldPosition="0"/>
    </format>
    <format dxfId="27">
      <pivotArea dataOnly="0" labelOnly="1" fieldPosition="0">
        <references count="1">
          <reference field="11" count="0"/>
        </references>
      </pivotArea>
    </format>
    <format dxfId="26">
      <pivotArea dataOnly="0" labelOnly="1" grandRow="1" outline="0" fieldPosition="0"/>
    </format>
    <format dxfId="25">
      <pivotArea dataOnly="0" labelOnly="1" outline="0" axis="axisValues" fieldPosition="0"/>
    </format>
  </formats>
  <chartFormats count="4">
    <chartFormat chart="10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0" format="2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9FF13E-3C7A-4FFC-9A1E-E5BFB52A20F0}" name="BankingData" displayName="BankingData" ref="A1:N301" totalsRowShown="0" headerRowDxfId="31" dataDxfId="32" headerRowBorderDxfId="47">
  <autoFilter ref="A1:N301" xr:uid="{B49FF13E-3C7A-4FFC-9A1E-E5BFB52A20F0}"/>
  <sortState xmlns:xlrd2="http://schemas.microsoft.com/office/spreadsheetml/2017/richdata2" ref="A2:N301">
    <sortCondition ref="A1:A301"/>
  </sortState>
  <tableColumns count="14">
    <tableColumn id="1" xr3:uid="{EC711318-62C5-48BE-A143-31338A6BB995}" name="Transaction ID" dataDxfId="46"/>
    <tableColumn id="2" xr3:uid="{30F82227-03A8-4B8B-92E2-A20F1261705D}" name="Date" dataDxfId="45"/>
    <tableColumn id="3" xr3:uid="{3292ABE6-E34F-40F8-AD45-7AD99FC1D9F3}" name="Customer ID" dataDxfId="44"/>
    <tableColumn id="4" xr3:uid="{83CE2F46-311D-4243-9F23-B694FE097C65}" name="Customer Name" dataDxfId="43"/>
    <tableColumn id="5" xr3:uid="{96CAE6A2-691B-4ACC-9FC5-8FACAE99B9F1}" name="Account Type" dataDxfId="42"/>
    <tableColumn id="6" xr3:uid="{9BE4A5F5-ABBC-4B29-9672-4A150F678539}" name="Branch" dataDxfId="41"/>
    <tableColumn id="7" xr3:uid="{E72737FF-3251-4097-903F-D398CB1000B0}" name="Transaction Type" dataDxfId="40"/>
    <tableColumn id="8" xr3:uid="{0422BBF0-A193-4D6D-ADDE-B850CFB41540}" name="Category" dataDxfId="39"/>
    <tableColumn id="9" xr3:uid="{6CE4A405-0EEA-4C4E-BE07-7A8C0E177274}" name="Channel" dataDxfId="38"/>
    <tableColumn id="10" xr3:uid="{AE8407F1-51AD-4771-BBDF-528B924C198D}" name="Amount (INR)" dataDxfId="37"/>
    <tableColumn id="11" xr3:uid="{7D4195B8-8D41-4F6A-BDC4-F2DFEF014365}" name="Credit/Debit" dataDxfId="36"/>
    <tableColumn id="12" xr3:uid="{B3C5379C-B622-437C-B327-955F5CBE1640}" name="Status" dataDxfId="35"/>
    <tableColumn id="13" xr3:uid="{37B2CF7E-DDCF-4E26-BE74-B3D6FE0C77EE}" name="Month" dataDxfId="34"/>
    <tableColumn id="14" xr3:uid="{A3A65A79-A930-47CE-8D84-1F05810164CD}" name="Weekday" dataDxfId="3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257DF-B0A6-4312-96F6-CB35CB887E81}">
  <dimension ref="A1:X26"/>
  <sheetViews>
    <sheetView tabSelected="1" zoomScale="61" workbookViewId="0">
      <selection activeCell="S3" sqref="S3"/>
    </sheetView>
  </sheetViews>
  <sheetFormatPr defaultRowHeight="14.4"/>
  <cols>
    <col min="1" max="1" width="56.21875" bestFit="1" customWidth="1"/>
  </cols>
  <sheetData>
    <row r="1" spans="1:24" ht="23.4">
      <c r="A1" s="20" t="s">
        <v>501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4" spans="1:24" ht="18">
      <c r="A4" s="21" t="s">
        <v>506</v>
      </c>
      <c r="B4" s="21"/>
      <c r="D4" s="23" t="s">
        <v>502</v>
      </c>
      <c r="E4" s="23"/>
      <c r="F4" s="23"/>
      <c r="H4" s="21" t="s">
        <v>503</v>
      </c>
      <c r="I4" s="21"/>
      <c r="J4" s="21"/>
      <c r="L4" s="21" t="s">
        <v>504</v>
      </c>
      <c r="M4" s="21"/>
      <c r="N4" s="21"/>
    </row>
    <row r="5" spans="1:24">
      <c r="A5" s="22">
        <f>COUNTA(BankingData[Transaction ID])</f>
        <v>300</v>
      </c>
      <c r="B5" s="22"/>
      <c r="D5" s="24">
        <f>SUM(BankingData[Amount (INR)])</f>
        <v>10711180</v>
      </c>
      <c r="E5" s="24"/>
      <c r="F5" s="24"/>
      <c r="H5" s="22">
        <f>COUNTIF(BankingData[Status],"Success")</f>
        <v>269</v>
      </c>
      <c r="I5" s="22"/>
      <c r="J5" s="22"/>
      <c r="L5" s="25">
        <f>COUNTIF(BankingData[Status],"Success")/COUNTA(BankingData[Transaction ID])</f>
        <v>0.89666666666666661</v>
      </c>
      <c r="M5" s="25"/>
      <c r="N5" s="25"/>
    </row>
    <row r="8" spans="1:24" ht="18">
      <c r="A8" s="26" t="s">
        <v>505</v>
      </c>
      <c r="B8" s="26"/>
      <c r="C8" s="26"/>
      <c r="H8" s="26" t="s">
        <v>492</v>
      </c>
      <c r="I8" s="26"/>
      <c r="J8" s="26"/>
      <c r="K8" s="26"/>
      <c r="V8" s="27" t="s">
        <v>498</v>
      </c>
      <c r="W8" s="27"/>
      <c r="X8" s="27"/>
    </row>
    <row r="26" spans="1:11" ht="18">
      <c r="A26" s="27" t="s">
        <v>499</v>
      </c>
      <c r="B26" s="27"/>
      <c r="C26" s="27"/>
      <c r="I26" s="27" t="s">
        <v>6</v>
      </c>
      <c r="J26" s="27"/>
      <c r="K26" s="27"/>
    </row>
  </sheetData>
  <mergeCells count="13">
    <mergeCell ref="A8:C8"/>
    <mergeCell ref="H8:K8"/>
    <mergeCell ref="V8:X8"/>
    <mergeCell ref="A26:C26"/>
    <mergeCell ref="I26:K26"/>
    <mergeCell ref="H4:J4"/>
    <mergeCell ref="H5:J5"/>
    <mergeCell ref="L4:N4"/>
    <mergeCell ref="L5:N5"/>
    <mergeCell ref="D5:F5"/>
    <mergeCell ref="A4:B4"/>
    <mergeCell ref="A5:B5"/>
    <mergeCell ref="A1:P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801BD-BAC1-4E12-8DD3-D1188938C930}">
  <dimension ref="A1:N301"/>
  <sheetViews>
    <sheetView topLeftCell="A2" workbookViewId="0">
      <selection activeCell="L8" sqref="A1:N301"/>
    </sheetView>
  </sheetViews>
  <sheetFormatPr defaultRowHeight="14.4"/>
  <cols>
    <col min="1" max="1" width="16.77734375" customWidth="1"/>
    <col min="2" max="2" width="11.77734375" bestFit="1" customWidth="1"/>
    <col min="3" max="3" width="15" customWidth="1"/>
    <col min="4" max="4" width="18.6640625" customWidth="1"/>
    <col min="5" max="5" width="16.33203125" customWidth="1"/>
    <col min="6" max="6" width="9.77734375" customWidth="1"/>
    <col min="7" max="7" width="19.6640625" customWidth="1"/>
    <col min="8" max="8" width="11.77734375" customWidth="1"/>
    <col min="9" max="9" width="10.88671875" customWidth="1"/>
    <col min="10" max="10" width="15.88671875" customWidth="1"/>
    <col min="11" max="11" width="14.44140625" customWidth="1"/>
    <col min="12" max="12" width="9" customWidth="1"/>
    <col min="14" max="14" width="11.88671875" customWidth="1"/>
  </cols>
  <sheetData>
    <row r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>
      <c r="A2" s="4" t="s">
        <v>14</v>
      </c>
      <c r="B2" s="5">
        <v>46026</v>
      </c>
      <c r="C2" s="6" t="s">
        <v>15</v>
      </c>
      <c r="D2" s="6" t="s">
        <v>16</v>
      </c>
      <c r="E2" s="6" t="s">
        <v>17</v>
      </c>
      <c r="F2" s="6" t="s">
        <v>18</v>
      </c>
      <c r="G2" s="6" t="s">
        <v>19</v>
      </c>
      <c r="H2" s="6" t="s">
        <v>20</v>
      </c>
      <c r="I2" s="6" t="s">
        <v>21</v>
      </c>
      <c r="J2" s="7">
        <v>10000</v>
      </c>
      <c r="K2" s="6" t="s">
        <v>22</v>
      </c>
      <c r="L2" s="6" t="s">
        <v>23</v>
      </c>
      <c r="M2" s="6" t="s">
        <v>24</v>
      </c>
      <c r="N2" s="8" t="s">
        <v>25</v>
      </c>
    </row>
    <row r="3" spans="1:14">
      <c r="A3" s="4" t="s">
        <v>26</v>
      </c>
      <c r="B3" s="5">
        <v>46029</v>
      </c>
      <c r="C3" s="6" t="s">
        <v>27</v>
      </c>
      <c r="D3" s="6" t="s">
        <v>28</v>
      </c>
      <c r="E3" s="6" t="s">
        <v>29</v>
      </c>
      <c r="F3" s="6" t="s">
        <v>30</v>
      </c>
      <c r="G3" s="6" t="s">
        <v>31</v>
      </c>
      <c r="H3" s="6" t="s">
        <v>32</v>
      </c>
      <c r="I3" s="6" t="s">
        <v>33</v>
      </c>
      <c r="J3" s="7">
        <v>11450</v>
      </c>
      <c r="K3" s="6" t="s">
        <v>22</v>
      </c>
      <c r="L3" s="6" t="s">
        <v>34</v>
      </c>
      <c r="M3" s="6" t="s">
        <v>24</v>
      </c>
      <c r="N3" s="8" t="s">
        <v>35</v>
      </c>
    </row>
    <row r="4" spans="1:14">
      <c r="A4" s="4" t="s">
        <v>36</v>
      </c>
      <c r="B4" s="5">
        <v>46030</v>
      </c>
      <c r="C4" s="6" t="s">
        <v>37</v>
      </c>
      <c r="D4" s="6" t="s">
        <v>38</v>
      </c>
      <c r="E4" s="6" t="s">
        <v>29</v>
      </c>
      <c r="F4" s="6" t="s">
        <v>18</v>
      </c>
      <c r="G4" s="6" t="s">
        <v>39</v>
      </c>
      <c r="H4" s="6" t="s">
        <v>40</v>
      </c>
      <c r="I4" s="6" t="s">
        <v>41</v>
      </c>
      <c r="J4" s="7">
        <v>5160</v>
      </c>
      <c r="K4" s="6" t="s">
        <v>22</v>
      </c>
      <c r="L4" s="6" t="s">
        <v>23</v>
      </c>
      <c r="M4" s="6" t="s">
        <v>24</v>
      </c>
      <c r="N4" s="8" t="s">
        <v>42</v>
      </c>
    </row>
    <row r="5" spans="1:14">
      <c r="A5" s="4" t="s">
        <v>43</v>
      </c>
      <c r="B5" s="5">
        <v>46030</v>
      </c>
      <c r="C5" s="6" t="s">
        <v>44</v>
      </c>
      <c r="D5" s="6" t="s">
        <v>45</v>
      </c>
      <c r="E5" s="6" t="s">
        <v>17</v>
      </c>
      <c r="F5" s="6" t="s">
        <v>46</v>
      </c>
      <c r="G5" s="6" t="s">
        <v>31</v>
      </c>
      <c r="H5" s="6" t="s">
        <v>32</v>
      </c>
      <c r="I5" s="6" t="s">
        <v>21</v>
      </c>
      <c r="J5" s="7">
        <v>99230</v>
      </c>
      <c r="K5" s="6" t="s">
        <v>22</v>
      </c>
      <c r="L5" s="6" t="s">
        <v>23</v>
      </c>
      <c r="M5" s="6" t="s">
        <v>24</v>
      </c>
      <c r="N5" s="8" t="s">
        <v>42</v>
      </c>
    </row>
    <row r="6" spans="1:14">
      <c r="A6" s="4" t="s">
        <v>47</v>
      </c>
      <c r="B6" s="5">
        <v>46031</v>
      </c>
      <c r="C6" s="6" t="s">
        <v>48</v>
      </c>
      <c r="D6" s="6" t="s">
        <v>49</v>
      </c>
      <c r="E6" s="6" t="s">
        <v>29</v>
      </c>
      <c r="F6" s="6" t="s">
        <v>50</v>
      </c>
      <c r="G6" s="6" t="s">
        <v>19</v>
      </c>
      <c r="H6" s="6" t="s">
        <v>20</v>
      </c>
      <c r="I6" s="6" t="s">
        <v>33</v>
      </c>
      <c r="J6" s="7">
        <v>14500</v>
      </c>
      <c r="K6" s="6" t="s">
        <v>22</v>
      </c>
      <c r="L6" s="6" t="s">
        <v>23</v>
      </c>
      <c r="M6" s="6" t="s">
        <v>24</v>
      </c>
      <c r="N6" s="8" t="s">
        <v>51</v>
      </c>
    </row>
    <row r="7" spans="1:14">
      <c r="A7" s="4" t="s">
        <v>52</v>
      </c>
      <c r="B7" s="5">
        <v>46033</v>
      </c>
      <c r="C7" s="6" t="s">
        <v>53</v>
      </c>
      <c r="D7" s="6" t="s">
        <v>54</v>
      </c>
      <c r="E7" s="6" t="s">
        <v>29</v>
      </c>
      <c r="F7" s="6" t="s">
        <v>46</v>
      </c>
      <c r="G7" s="6" t="s">
        <v>55</v>
      </c>
      <c r="H7" s="6" t="s">
        <v>56</v>
      </c>
      <c r="I7" s="6" t="s">
        <v>33</v>
      </c>
      <c r="J7" s="7">
        <v>21590</v>
      </c>
      <c r="K7" s="6" t="s">
        <v>57</v>
      </c>
      <c r="L7" s="6" t="s">
        <v>34</v>
      </c>
      <c r="M7" s="6" t="s">
        <v>24</v>
      </c>
      <c r="N7" s="8" t="s">
        <v>25</v>
      </c>
    </row>
    <row r="8" spans="1:14">
      <c r="A8" s="4" t="s">
        <v>58</v>
      </c>
      <c r="B8" s="5">
        <v>46033</v>
      </c>
      <c r="C8" s="6" t="s">
        <v>59</v>
      </c>
      <c r="D8" s="6" t="s">
        <v>60</v>
      </c>
      <c r="E8" s="6" t="s">
        <v>17</v>
      </c>
      <c r="F8" s="6" t="s">
        <v>18</v>
      </c>
      <c r="G8" s="6" t="s">
        <v>39</v>
      </c>
      <c r="H8" s="6" t="s">
        <v>61</v>
      </c>
      <c r="I8" s="6" t="s">
        <v>41</v>
      </c>
      <c r="J8" s="7">
        <v>19140</v>
      </c>
      <c r="K8" s="6" t="s">
        <v>22</v>
      </c>
      <c r="L8" s="6" t="s">
        <v>62</v>
      </c>
      <c r="M8" s="6" t="s">
        <v>24</v>
      </c>
      <c r="N8" s="8" t="s">
        <v>25</v>
      </c>
    </row>
    <row r="9" spans="1:14">
      <c r="A9" s="4" t="s">
        <v>63</v>
      </c>
      <c r="B9" s="5">
        <v>46034</v>
      </c>
      <c r="C9" s="6" t="s">
        <v>64</v>
      </c>
      <c r="D9" s="6" t="s">
        <v>65</v>
      </c>
      <c r="E9" s="6" t="s">
        <v>66</v>
      </c>
      <c r="F9" s="6" t="s">
        <v>67</v>
      </c>
      <c r="G9" s="6" t="s">
        <v>31</v>
      </c>
      <c r="H9" s="6" t="s">
        <v>68</v>
      </c>
      <c r="I9" s="6" t="s">
        <v>69</v>
      </c>
      <c r="J9" s="7">
        <v>54900</v>
      </c>
      <c r="K9" s="6" t="s">
        <v>22</v>
      </c>
      <c r="L9" s="6" t="s">
        <v>23</v>
      </c>
      <c r="M9" s="6" t="s">
        <v>24</v>
      </c>
      <c r="N9" s="8" t="s">
        <v>70</v>
      </c>
    </row>
    <row r="10" spans="1:14">
      <c r="A10" s="4" t="s">
        <v>71</v>
      </c>
      <c r="B10" s="5">
        <v>46036</v>
      </c>
      <c r="C10" s="6" t="s">
        <v>37</v>
      </c>
      <c r="D10" s="6" t="s">
        <v>38</v>
      </c>
      <c r="E10" s="6" t="s">
        <v>29</v>
      </c>
      <c r="F10" s="6" t="s">
        <v>18</v>
      </c>
      <c r="G10" s="6" t="s">
        <v>72</v>
      </c>
      <c r="H10" s="6" t="s">
        <v>73</v>
      </c>
      <c r="I10" s="6" t="s">
        <v>21</v>
      </c>
      <c r="J10" s="7">
        <v>13040</v>
      </c>
      <c r="K10" s="6" t="s">
        <v>22</v>
      </c>
      <c r="L10" s="6" t="s">
        <v>23</v>
      </c>
      <c r="M10" s="6" t="s">
        <v>24</v>
      </c>
      <c r="N10" s="8" t="s">
        <v>35</v>
      </c>
    </row>
    <row r="11" spans="1:14">
      <c r="A11" s="4" t="s">
        <v>74</v>
      </c>
      <c r="B11" s="5">
        <v>46036</v>
      </c>
      <c r="C11" s="6" t="s">
        <v>75</v>
      </c>
      <c r="D11" s="6" t="s">
        <v>76</v>
      </c>
      <c r="E11" s="6" t="s">
        <v>17</v>
      </c>
      <c r="F11" s="6" t="s">
        <v>46</v>
      </c>
      <c r="G11" s="6" t="s">
        <v>39</v>
      </c>
      <c r="H11" s="6" t="s">
        <v>61</v>
      </c>
      <c r="I11" s="6" t="s">
        <v>33</v>
      </c>
      <c r="J11" s="7">
        <v>8170</v>
      </c>
      <c r="K11" s="6" t="s">
        <v>22</v>
      </c>
      <c r="L11" s="6" t="s">
        <v>23</v>
      </c>
      <c r="M11" s="6" t="s">
        <v>24</v>
      </c>
      <c r="N11" s="8" t="s">
        <v>35</v>
      </c>
    </row>
    <row r="12" spans="1:14">
      <c r="A12" s="4" t="s">
        <v>77</v>
      </c>
      <c r="B12" s="5">
        <v>46037</v>
      </c>
      <c r="C12" s="6" t="s">
        <v>15</v>
      </c>
      <c r="D12" s="6" t="s">
        <v>16</v>
      </c>
      <c r="E12" s="6" t="s">
        <v>17</v>
      </c>
      <c r="F12" s="6" t="s">
        <v>18</v>
      </c>
      <c r="G12" s="6" t="s">
        <v>39</v>
      </c>
      <c r="H12" s="6" t="s">
        <v>61</v>
      </c>
      <c r="I12" s="6" t="s">
        <v>41</v>
      </c>
      <c r="J12" s="7">
        <v>14730</v>
      </c>
      <c r="K12" s="6" t="s">
        <v>22</v>
      </c>
      <c r="L12" s="6" t="s">
        <v>23</v>
      </c>
      <c r="M12" s="6" t="s">
        <v>24</v>
      </c>
      <c r="N12" s="8" t="s">
        <v>42</v>
      </c>
    </row>
    <row r="13" spans="1:14">
      <c r="A13" s="4" t="s">
        <v>78</v>
      </c>
      <c r="B13" s="5">
        <v>46037</v>
      </c>
      <c r="C13" s="6" t="s">
        <v>79</v>
      </c>
      <c r="D13" s="6" t="s">
        <v>80</v>
      </c>
      <c r="E13" s="6" t="s">
        <v>17</v>
      </c>
      <c r="F13" s="6" t="s">
        <v>81</v>
      </c>
      <c r="G13" s="6" t="s">
        <v>39</v>
      </c>
      <c r="H13" s="6" t="s">
        <v>40</v>
      </c>
      <c r="I13" s="6" t="s">
        <v>33</v>
      </c>
      <c r="J13" s="7">
        <v>19570</v>
      </c>
      <c r="K13" s="6" t="s">
        <v>22</v>
      </c>
      <c r="L13" s="6" t="s">
        <v>23</v>
      </c>
      <c r="M13" s="6" t="s">
        <v>24</v>
      </c>
      <c r="N13" s="8" t="s">
        <v>42</v>
      </c>
    </row>
    <row r="14" spans="1:14">
      <c r="A14" s="4" t="s">
        <v>82</v>
      </c>
      <c r="B14" s="5">
        <v>46038</v>
      </c>
      <c r="C14" s="6" t="s">
        <v>83</v>
      </c>
      <c r="D14" s="6" t="s">
        <v>84</v>
      </c>
      <c r="E14" s="6" t="s">
        <v>29</v>
      </c>
      <c r="F14" s="6" t="s">
        <v>18</v>
      </c>
      <c r="G14" s="6" t="s">
        <v>39</v>
      </c>
      <c r="H14" s="6" t="s">
        <v>85</v>
      </c>
      <c r="I14" s="6" t="s">
        <v>33</v>
      </c>
      <c r="J14" s="7">
        <v>23480</v>
      </c>
      <c r="K14" s="6" t="s">
        <v>22</v>
      </c>
      <c r="L14" s="6" t="s">
        <v>23</v>
      </c>
      <c r="M14" s="6" t="s">
        <v>24</v>
      </c>
      <c r="N14" s="8" t="s">
        <v>51</v>
      </c>
    </row>
    <row r="15" spans="1:14">
      <c r="A15" s="4" t="s">
        <v>86</v>
      </c>
      <c r="B15" s="5">
        <v>46039</v>
      </c>
      <c r="C15" s="6" t="s">
        <v>87</v>
      </c>
      <c r="D15" s="6" t="s">
        <v>88</v>
      </c>
      <c r="E15" s="6" t="s">
        <v>29</v>
      </c>
      <c r="F15" s="6" t="s">
        <v>81</v>
      </c>
      <c r="G15" s="6" t="s">
        <v>72</v>
      </c>
      <c r="H15" s="6" t="s">
        <v>89</v>
      </c>
      <c r="I15" s="6" t="s">
        <v>69</v>
      </c>
      <c r="J15" s="7">
        <v>11560</v>
      </c>
      <c r="K15" s="6" t="s">
        <v>22</v>
      </c>
      <c r="L15" s="6" t="s">
        <v>23</v>
      </c>
      <c r="M15" s="6" t="s">
        <v>24</v>
      </c>
      <c r="N15" s="8" t="s">
        <v>90</v>
      </c>
    </row>
    <row r="16" spans="1:14">
      <c r="A16" s="4" t="s">
        <v>91</v>
      </c>
      <c r="B16" s="5">
        <v>46041</v>
      </c>
      <c r="C16" s="6" t="s">
        <v>53</v>
      </c>
      <c r="D16" s="6" t="s">
        <v>54</v>
      </c>
      <c r="E16" s="6" t="s">
        <v>29</v>
      </c>
      <c r="F16" s="6" t="s">
        <v>46</v>
      </c>
      <c r="G16" s="6" t="s">
        <v>55</v>
      </c>
      <c r="H16" s="6" t="s">
        <v>56</v>
      </c>
      <c r="I16" s="6" t="s">
        <v>21</v>
      </c>
      <c r="J16" s="7">
        <v>149630</v>
      </c>
      <c r="K16" s="6" t="s">
        <v>57</v>
      </c>
      <c r="L16" s="6" t="s">
        <v>23</v>
      </c>
      <c r="M16" s="6" t="s">
        <v>24</v>
      </c>
      <c r="N16" s="8" t="s">
        <v>70</v>
      </c>
    </row>
    <row r="17" spans="1:14">
      <c r="A17" s="4" t="s">
        <v>92</v>
      </c>
      <c r="B17" s="5">
        <v>46041</v>
      </c>
      <c r="C17" s="6" t="s">
        <v>93</v>
      </c>
      <c r="D17" s="6" t="s">
        <v>94</v>
      </c>
      <c r="E17" s="6" t="s">
        <v>17</v>
      </c>
      <c r="F17" s="6" t="s">
        <v>67</v>
      </c>
      <c r="G17" s="6" t="s">
        <v>95</v>
      </c>
      <c r="H17" s="6" t="s">
        <v>96</v>
      </c>
      <c r="I17" s="6" t="s">
        <v>97</v>
      </c>
      <c r="J17" s="7">
        <v>35490</v>
      </c>
      <c r="K17" s="6" t="s">
        <v>22</v>
      </c>
      <c r="L17" s="6" t="s">
        <v>23</v>
      </c>
      <c r="M17" s="6" t="s">
        <v>24</v>
      </c>
      <c r="N17" s="8" t="s">
        <v>70</v>
      </c>
    </row>
    <row r="18" spans="1:14">
      <c r="A18" s="4" t="s">
        <v>98</v>
      </c>
      <c r="B18" s="5">
        <v>46041</v>
      </c>
      <c r="C18" s="6" t="s">
        <v>99</v>
      </c>
      <c r="D18" s="6" t="s">
        <v>100</v>
      </c>
      <c r="E18" s="6" t="s">
        <v>29</v>
      </c>
      <c r="F18" s="6" t="s">
        <v>30</v>
      </c>
      <c r="G18" s="6" t="s">
        <v>31</v>
      </c>
      <c r="H18" s="6" t="s">
        <v>101</v>
      </c>
      <c r="I18" s="6" t="s">
        <v>33</v>
      </c>
      <c r="J18" s="7">
        <v>19440</v>
      </c>
      <c r="K18" s="6" t="s">
        <v>22</v>
      </c>
      <c r="L18" s="6" t="s">
        <v>23</v>
      </c>
      <c r="M18" s="6" t="s">
        <v>24</v>
      </c>
      <c r="N18" s="8" t="s">
        <v>70</v>
      </c>
    </row>
    <row r="19" spans="1:14">
      <c r="A19" s="4" t="s">
        <v>102</v>
      </c>
      <c r="B19" s="5">
        <v>46042</v>
      </c>
      <c r="C19" s="6" t="s">
        <v>93</v>
      </c>
      <c r="D19" s="6" t="s">
        <v>94</v>
      </c>
      <c r="E19" s="6" t="s">
        <v>17</v>
      </c>
      <c r="F19" s="6" t="s">
        <v>67</v>
      </c>
      <c r="G19" s="6" t="s">
        <v>39</v>
      </c>
      <c r="H19" s="6" t="s">
        <v>103</v>
      </c>
      <c r="I19" s="6" t="s">
        <v>21</v>
      </c>
      <c r="J19" s="7">
        <v>20940</v>
      </c>
      <c r="K19" s="6" t="s">
        <v>22</v>
      </c>
      <c r="L19" s="6" t="s">
        <v>23</v>
      </c>
      <c r="M19" s="6" t="s">
        <v>24</v>
      </c>
      <c r="N19" s="8" t="s">
        <v>104</v>
      </c>
    </row>
    <row r="20" spans="1:14">
      <c r="A20" s="4" t="s">
        <v>105</v>
      </c>
      <c r="B20" s="5">
        <v>46042</v>
      </c>
      <c r="C20" s="6" t="s">
        <v>106</v>
      </c>
      <c r="D20" s="6" t="s">
        <v>107</v>
      </c>
      <c r="E20" s="6" t="s">
        <v>17</v>
      </c>
      <c r="F20" s="6" t="s">
        <v>46</v>
      </c>
      <c r="G20" s="6" t="s">
        <v>95</v>
      </c>
      <c r="H20" s="6" t="s">
        <v>96</v>
      </c>
      <c r="I20" s="6" t="s">
        <v>97</v>
      </c>
      <c r="J20" s="7">
        <v>37170</v>
      </c>
      <c r="K20" s="6" t="s">
        <v>22</v>
      </c>
      <c r="L20" s="6" t="s">
        <v>23</v>
      </c>
      <c r="M20" s="6" t="s">
        <v>24</v>
      </c>
      <c r="N20" s="8" t="s">
        <v>104</v>
      </c>
    </row>
    <row r="21" spans="1:14">
      <c r="A21" s="4" t="s">
        <v>108</v>
      </c>
      <c r="B21" s="5">
        <v>46043</v>
      </c>
      <c r="C21" s="6" t="s">
        <v>109</v>
      </c>
      <c r="D21" s="6" t="s">
        <v>110</v>
      </c>
      <c r="E21" s="6" t="s">
        <v>29</v>
      </c>
      <c r="F21" s="6" t="s">
        <v>81</v>
      </c>
      <c r="G21" s="6" t="s">
        <v>19</v>
      </c>
      <c r="H21" s="6" t="s">
        <v>111</v>
      </c>
      <c r="I21" s="6" t="s">
        <v>33</v>
      </c>
      <c r="J21" s="7">
        <v>26000</v>
      </c>
      <c r="K21" s="6" t="s">
        <v>22</v>
      </c>
      <c r="L21" s="6" t="s">
        <v>23</v>
      </c>
      <c r="M21" s="6" t="s">
        <v>24</v>
      </c>
      <c r="N21" s="8" t="s">
        <v>35</v>
      </c>
    </row>
    <row r="22" spans="1:14">
      <c r="A22" s="4" t="s">
        <v>112</v>
      </c>
      <c r="B22" s="5">
        <v>46043</v>
      </c>
      <c r="C22" s="6" t="s">
        <v>113</v>
      </c>
      <c r="D22" s="6" t="s">
        <v>114</v>
      </c>
      <c r="E22" s="6" t="s">
        <v>66</v>
      </c>
      <c r="F22" s="6" t="s">
        <v>115</v>
      </c>
      <c r="G22" s="6" t="s">
        <v>19</v>
      </c>
      <c r="H22" s="6" t="s">
        <v>111</v>
      </c>
      <c r="I22" s="6" t="s">
        <v>33</v>
      </c>
      <c r="J22" s="7">
        <v>26000</v>
      </c>
      <c r="K22" s="6" t="s">
        <v>22</v>
      </c>
      <c r="L22" s="6" t="s">
        <v>23</v>
      </c>
      <c r="M22" s="6" t="s">
        <v>24</v>
      </c>
      <c r="N22" s="8" t="s">
        <v>35</v>
      </c>
    </row>
    <row r="23" spans="1:14">
      <c r="A23" s="4" t="s">
        <v>116</v>
      </c>
      <c r="B23" s="5">
        <v>46043</v>
      </c>
      <c r="C23" s="6" t="s">
        <v>117</v>
      </c>
      <c r="D23" s="6" t="s">
        <v>118</v>
      </c>
      <c r="E23" s="6" t="s">
        <v>29</v>
      </c>
      <c r="F23" s="6" t="s">
        <v>81</v>
      </c>
      <c r="G23" s="6" t="s">
        <v>55</v>
      </c>
      <c r="H23" s="6" t="s">
        <v>56</v>
      </c>
      <c r="I23" s="6" t="s">
        <v>5</v>
      </c>
      <c r="J23" s="7">
        <v>110020</v>
      </c>
      <c r="K23" s="6" t="s">
        <v>57</v>
      </c>
      <c r="L23" s="6" t="s">
        <v>23</v>
      </c>
      <c r="M23" s="6" t="s">
        <v>24</v>
      </c>
      <c r="N23" s="8" t="s">
        <v>35</v>
      </c>
    </row>
    <row r="24" spans="1:14">
      <c r="A24" s="4" t="s">
        <v>119</v>
      </c>
      <c r="B24" s="5">
        <v>46044</v>
      </c>
      <c r="C24" s="6" t="s">
        <v>48</v>
      </c>
      <c r="D24" s="6" t="s">
        <v>49</v>
      </c>
      <c r="E24" s="6" t="s">
        <v>29</v>
      </c>
      <c r="F24" s="6" t="s">
        <v>50</v>
      </c>
      <c r="G24" s="6" t="s">
        <v>31</v>
      </c>
      <c r="H24" s="6" t="s">
        <v>101</v>
      </c>
      <c r="I24" s="6" t="s">
        <v>69</v>
      </c>
      <c r="J24" s="7">
        <v>37690</v>
      </c>
      <c r="K24" s="6" t="s">
        <v>22</v>
      </c>
      <c r="L24" s="6" t="s">
        <v>23</v>
      </c>
      <c r="M24" s="6" t="s">
        <v>24</v>
      </c>
      <c r="N24" s="8" t="s">
        <v>42</v>
      </c>
    </row>
    <row r="25" spans="1:14">
      <c r="A25" s="4" t="s">
        <v>120</v>
      </c>
      <c r="B25" s="5">
        <v>46044</v>
      </c>
      <c r="C25" s="6" t="s">
        <v>121</v>
      </c>
      <c r="D25" s="6" t="s">
        <v>122</v>
      </c>
      <c r="E25" s="6" t="s">
        <v>17</v>
      </c>
      <c r="F25" s="6" t="s">
        <v>115</v>
      </c>
      <c r="G25" s="6" t="s">
        <v>39</v>
      </c>
      <c r="H25" s="6" t="s">
        <v>123</v>
      </c>
      <c r="I25" s="6" t="s">
        <v>41</v>
      </c>
      <c r="J25" s="7">
        <v>1550</v>
      </c>
      <c r="K25" s="6" t="s">
        <v>22</v>
      </c>
      <c r="L25" s="6" t="s">
        <v>23</v>
      </c>
      <c r="M25" s="6" t="s">
        <v>24</v>
      </c>
      <c r="N25" s="8" t="s">
        <v>42</v>
      </c>
    </row>
    <row r="26" spans="1:14">
      <c r="A26" s="4" t="s">
        <v>124</v>
      </c>
      <c r="B26" s="5">
        <v>46045</v>
      </c>
      <c r="C26" s="6" t="s">
        <v>106</v>
      </c>
      <c r="D26" s="6" t="s">
        <v>107</v>
      </c>
      <c r="E26" s="6" t="s">
        <v>17</v>
      </c>
      <c r="F26" s="6" t="s">
        <v>46</v>
      </c>
      <c r="G26" s="6" t="s">
        <v>95</v>
      </c>
      <c r="H26" s="6" t="s">
        <v>96</v>
      </c>
      <c r="I26" s="6" t="s">
        <v>97</v>
      </c>
      <c r="J26" s="7">
        <v>25670</v>
      </c>
      <c r="K26" s="6" t="s">
        <v>22</v>
      </c>
      <c r="L26" s="6" t="s">
        <v>23</v>
      </c>
      <c r="M26" s="6" t="s">
        <v>24</v>
      </c>
      <c r="N26" s="8" t="s">
        <v>51</v>
      </c>
    </row>
    <row r="27" spans="1:14">
      <c r="A27" s="4" t="s">
        <v>125</v>
      </c>
      <c r="B27" s="5">
        <v>46045</v>
      </c>
      <c r="C27" s="6" t="s">
        <v>126</v>
      </c>
      <c r="D27" s="6" t="s">
        <v>127</v>
      </c>
      <c r="E27" s="6" t="s">
        <v>66</v>
      </c>
      <c r="F27" s="6" t="s">
        <v>50</v>
      </c>
      <c r="G27" s="6" t="s">
        <v>19</v>
      </c>
      <c r="H27" s="6" t="s">
        <v>20</v>
      </c>
      <c r="I27" s="6" t="s">
        <v>69</v>
      </c>
      <c r="J27" s="7">
        <v>26000</v>
      </c>
      <c r="K27" s="6" t="s">
        <v>22</v>
      </c>
      <c r="L27" s="6" t="s">
        <v>23</v>
      </c>
      <c r="M27" s="6" t="s">
        <v>24</v>
      </c>
      <c r="N27" s="8" t="s">
        <v>51</v>
      </c>
    </row>
    <row r="28" spans="1:14">
      <c r="A28" s="4" t="s">
        <v>128</v>
      </c>
      <c r="B28" s="5">
        <v>46046</v>
      </c>
      <c r="C28" s="6" t="s">
        <v>129</v>
      </c>
      <c r="D28" s="6" t="s">
        <v>130</v>
      </c>
      <c r="E28" s="6" t="s">
        <v>29</v>
      </c>
      <c r="F28" s="6" t="s">
        <v>46</v>
      </c>
      <c r="G28" s="6" t="s">
        <v>31</v>
      </c>
      <c r="H28" s="6" t="s">
        <v>32</v>
      </c>
      <c r="I28" s="6" t="s">
        <v>69</v>
      </c>
      <c r="J28" s="7">
        <v>94460</v>
      </c>
      <c r="K28" s="6" t="s">
        <v>22</v>
      </c>
      <c r="L28" s="6" t="s">
        <v>23</v>
      </c>
      <c r="M28" s="6" t="s">
        <v>24</v>
      </c>
      <c r="N28" s="8" t="s">
        <v>90</v>
      </c>
    </row>
    <row r="29" spans="1:14">
      <c r="A29" s="4" t="s">
        <v>131</v>
      </c>
      <c r="B29" s="5">
        <v>46046</v>
      </c>
      <c r="C29" s="6" t="s">
        <v>79</v>
      </c>
      <c r="D29" s="6" t="s">
        <v>80</v>
      </c>
      <c r="E29" s="6" t="s">
        <v>17</v>
      </c>
      <c r="F29" s="6" t="s">
        <v>81</v>
      </c>
      <c r="G29" s="6" t="s">
        <v>19</v>
      </c>
      <c r="H29" s="6" t="s">
        <v>20</v>
      </c>
      <c r="I29" s="6" t="s">
        <v>33</v>
      </c>
      <c r="J29" s="7">
        <v>19500</v>
      </c>
      <c r="K29" s="6" t="s">
        <v>22</v>
      </c>
      <c r="L29" s="6" t="s">
        <v>23</v>
      </c>
      <c r="M29" s="6" t="s">
        <v>24</v>
      </c>
      <c r="N29" s="8" t="s">
        <v>90</v>
      </c>
    </row>
    <row r="30" spans="1:14">
      <c r="A30" s="4" t="s">
        <v>132</v>
      </c>
      <c r="B30" s="5">
        <v>46046</v>
      </c>
      <c r="C30" s="6" t="s">
        <v>133</v>
      </c>
      <c r="D30" s="6" t="s">
        <v>134</v>
      </c>
      <c r="E30" s="6" t="s">
        <v>17</v>
      </c>
      <c r="F30" s="6" t="s">
        <v>115</v>
      </c>
      <c r="G30" s="6" t="s">
        <v>95</v>
      </c>
      <c r="H30" s="6" t="s">
        <v>96</v>
      </c>
      <c r="I30" s="6" t="s">
        <v>5</v>
      </c>
      <c r="J30" s="7">
        <v>5090</v>
      </c>
      <c r="K30" s="6" t="s">
        <v>22</v>
      </c>
      <c r="L30" s="6" t="s">
        <v>23</v>
      </c>
      <c r="M30" s="6" t="s">
        <v>24</v>
      </c>
      <c r="N30" s="8" t="s">
        <v>90</v>
      </c>
    </row>
    <row r="31" spans="1:14">
      <c r="A31" s="4" t="s">
        <v>135</v>
      </c>
      <c r="B31" s="5">
        <v>46048</v>
      </c>
      <c r="C31" s="6" t="s">
        <v>93</v>
      </c>
      <c r="D31" s="6" t="s">
        <v>94</v>
      </c>
      <c r="E31" s="6" t="s">
        <v>17</v>
      </c>
      <c r="F31" s="6" t="s">
        <v>67</v>
      </c>
      <c r="G31" s="6" t="s">
        <v>39</v>
      </c>
      <c r="H31" s="6" t="s">
        <v>40</v>
      </c>
      <c r="I31" s="6" t="s">
        <v>33</v>
      </c>
      <c r="J31" s="7">
        <v>12660</v>
      </c>
      <c r="K31" s="6" t="s">
        <v>22</v>
      </c>
      <c r="L31" s="6" t="s">
        <v>34</v>
      </c>
      <c r="M31" s="6" t="s">
        <v>24</v>
      </c>
      <c r="N31" s="8" t="s">
        <v>70</v>
      </c>
    </row>
    <row r="32" spans="1:14">
      <c r="A32" s="4" t="s">
        <v>136</v>
      </c>
      <c r="B32" s="5">
        <v>46049</v>
      </c>
      <c r="C32" s="6" t="s">
        <v>137</v>
      </c>
      <c r="D32" s="6" t="s">
        <v>138</v>
      </c>
      <c r="E32" s="6" t="s">
        <v>17</v>
      </c>
      <c r="F32" s="6" t="s">
        <v>81</v>
      </c>
      <c r="G32" s="6" t="s">
        <v>95</v>
      </c>
      <c r="H32" s="6" t="s">
        <v>96</v>
      </c>
      <c r="I32" s="6" t="s">
        <v>97</v>
      </c>
      <c r="J32" s="7">
        <v>37140</v>
      </c>
      <c r="K32" s="6" t="s">
        <v>22</v>
      </c>
      <c r="L32" s="6" t="s">
        <v>23</v>
      </c>
      <c r="M32" s="6" t="s">
        <v>24</v>
      </c>
      <c r="N32" s="8" t="s">
        <v>104</v>
      </c>
    </row>
    <row r="33" spans="1:14">
      <c r="A33" s="4" t="s">
        <v>139</v>
      </c>
      <c r="B33" s="5">
        <v>46050</v>
      </c>
      <c r="C33" s="6" t="s">
        <v>140</v>
      </c>
      <c r="D33" s="6" t="s">
        <v>141</v>
      </c>
      <c r="E33" s="6" t="s">
        <v>29</v>
      </c>
      <c r="F33" s="6" t="s">
        <v>50</v>
      </c>
      <c r="G33" s="6" t="s">
        <v>31</v>
      </c>
      <c r="H33" s="6" t="s">
        <v>68</v>
      </c>
      <c r="I33" s="6" t="s">
        <v>21</v>
      </c>
      <c r="J33" s="7">
        <v>39230</v>
      </c>
      <c r="K33" s="6" t="s">
        <v>22</v>
      </c>
      <c r="L33" s="6" t="s">
        <v>23</v>
      </c>
      <c r="M33" s="6" t="s">
        <v>24</v>
      </c>
      <c r="N33" s="8" t="s">
        <v>35</v>
      </c>
    </row>
    <row r="34" spans="1:14">
      <c r="A34" s="4" t="s">
        <v>142</v>
      </c>
      <c r="B34" s="5">
        <v>46052</v>
      </c>
      <c r="C34" s="6" t="s">
        <v>129</v>
      </c>
      <c r="D34" s="6" t="s">
        <v>130</v>
      </c>
      <c r="E34" s="6" t="s">
        <v>29</v>
      </c>
      <c r="F34" s="6" t="s">
        <v>46</v>
      </c>
      <c r="G34" s="6" t="s">
        <v>72</v>
      </c>
      <c r="H34" s="6" t="s">
        <v>89</v>
      </c>
      <c r="I34" s="6" t="s">
        <v>69</v>
      </c>
      <c r="J34" s="7">
        <v>13810</v>
      </c>
      <c r="K34" s="6" t="s">
        <v>22</v>
      </c>
      <c r="L34" s="6" t="s">
        <v>23</v>
      </c>
      <c r="M34" s="6" t="s">
        <v>24</v>
      </c>
      <c r="N34" s="8" t="s">
        <v>51</v>
      </c>
    </row>
    <row r="35" spans="1:14">
      <c r="A35" s="4" t="s">
        <v>143</v>
      </c>
      <c r="B35" s="5">
        <v>46052</v>
      </c>
      <c r="C35" s="6" t="s">
        <v>44</v>
      </c>
      <c r="D35" s="6" t="s">
        <v>45</v>
      </c>
      <c r="E35" s="6" t="s">
        <v>17</v>
      </c>
      <c r="F35" s="6" t="s">
        <v>46</v>
      </c>
      <c r="G35" s="6" t="s">
        <v>31</v>
      </c>
      <c r="H35" s="6" t="s">
        <v>144</v>
      </c>
      <c r="I35" s="6" t="s">
        <v>33</v>
      </c>
      <c r="J35" s="7">
        <v>72600</v>
      </c>
      <c r="K35" s="6" t="s">
        <v>22</v>
      </c>
      <c r="L35" s="6" t="s">
        <v>23</v>
      </c>
      <c r="M35" s="6" t="s">
        <v>24</v>
      </c>
      <c r="N35" s="8" t="s">
        <v>51</v>
      </c>
    </row>
    <row r="36" spans="1:14">
      <c r="A36" s="4" t="s">
        <v>145</v>
      </c>
      <c r="B36" s="5">
        <v>46053</v>
      </c>
      <c r="C36" s="6" t="s">
        <v>146</v>
      </c>
      <c r="D36" s="6" t="s">
        <v>147</v>
      </c>
      <c r="E36" s="6" t="s">
        <v>29</v>
      </c>
      <c r="F36" s="6" t="s">
        <v>50</v>
      </c>
      <c r="G36" s="6" t="s">
        <v>19</v>
      </c>
      <c r="H36" s="6" t="s">
        <v>111</v>
      </c>
      <c r="I36" s="6" t="s">
        <v>69</v>
      </c>
      <c r="J36" s="7">
        <v>35000</v>
      </c>
      <c r="K36" s="6" t="s">
        <v>22</v>
      </c>
      <c r="L36" s="6" t="s">
        <v>23</v>
      </c>
      <c r="M36" s="6" t="s">
        <v>24</v>
      </c>
      <c r="N36" s="8" t="s">
        <v>90</v>
      </c>
    </row>
    <row r="37" spans="1:14">
      <c r="A37" s="4" t="s">
        <v>148</v>
      </c>
      <c r="B37" s="5">
        <v>46054</v>
      </c>
      <c r="C37" s="6" t="s">
        <v>149</v>
      </c>
      <c r="D37" s="6" t="s">
        <v>150</v>
      </c>
      <c r="E37" s="6" t="s">
        <v>17</v>
      </c>
      <c r="F37" s="6" t="s">
        <v>18</v>
      </c>
      <c r="G37" s="6" t="s">
        <v>39</v>
      </c>
      <c r="H37" s="6" t="s">
        <v>103</v>
      </c>
      <c r="I37" s="6" t="s">
        <v>21</v>
      </c>
      <c r="J37" s="7">
        <v>20650</v>
      </c>
      <c r="K37" s="6" t="s">
        <v>22</v>
      </c>
      <c r="L37" s="6" t="s">
        <v>23</v>
      </c>
      <c r="M37" s="6" t="s">
        <v>151</v>
      </c>
      <c r="N37" s="8" t="s">
        <v>25</v>
      </c>
    </row>
    <row r="38" spans="1:14">
      <c r="A38" s="4" t="s">
        <v>152</v>
      </c>
      <c r="B38" s="5">
        <v>46054</v>
      </c>
      <c r="C38" s="6" t="s">
        <v>153</v>
      </c>
      <c r="D38" s="6" t="s">
        <v>154</v>
      </c>
      <c r="E38" s="6" t="s">
        <v>29</v>
      </c>
      <c r="F38" s="6" t="s">
        <v>18</v>
      </c>
      <c r="G38" s="6" t="s">
        <v>55</v>
      </c>
      <c r="H38" s="6" t="s">
        <v>56</v>
      </c>
      <c r="I38" s="6" t="s">
        <v>21</v>
      </c>
      <c r="J38" s="7">
        <v>149730</v>
      </c>
      <c r="K38" s="6" t="s">
        <v>57</v>
      </c>
      <c r="L38" s="6" t="s">
        <v>23</v>
      </c>
      <c r="M38" s="6" t="s">
        <v>151</v>
      </c>
      <c r="N38" s="8" t="s">
        <v>25</v>
      </c>
    </row>
    <row r="39" spans="1:14">
      <c r="A39" s="4" t="s">
        <v>155</v>
      </c>
      <c r="B39" s="5">
        <v>46054</v>
      </c>
      <c r="C39" s="6" t="s">
        <v>156</v>
      </c>
      <c r="D39" s="6" t="s">
        <v>157</v>
      </c>
      <c r="E39" s="6" t="s">
        <v>17</v>
      </c>
      <c r="F39" s="6" t="s">
        <v>115</v>
      </c>
      <c r="G39" s="6" t="s">
        <v>55</v>
      </c>
      <c r="H39" s="6" t="s">
        <v>158</v>
      </c>
      <c r="I39" s="6" t="s">
        <v>21</v>
      </c>
      <c r="J39" s="7">
        <v>104480</v>
      </c>
      <c r="K39" s="6" t="s">
        <v>57</v>
      </c>
      <c r="L39" s="6" t="s">
        <v>23</v>
      </c>
      <c r="M39" s="6" t="s">
        <v>151</v>
      </c>
      <c r="N39" s="8" t="s">
        <v>25</v>
      </c>
    </row>
    <row r="40" spans="1:14">
      <c r="A40" s="4" t="s">
        <v>159</v>
      </c>
      <c r="B40" s="5">
        <v>46055</v>
      </c>
      <c r="C40" s="6" t="s">
        <v>160</v>
      </c>
      <c r="D40" s="6" t="s">
        <v>161</v>
      </c>
      <c r="E40" s="6" t="s">
        <v>66</v>
      </c>
      <c r="F40" s="6" t="s">
        <v>18</v>
      </c>
      <c r="G40" s="6" t="s">
        <v>39</v>
      </c>
      <c r="H40" s="6" t="s">
        <v>123</v>
      </c>
      <c r="I40" s="6" t="s">
        <v>21</v>
      </c>
      <c r="J40" s="7">
        <v>17980</v>
      </c>
      <c r="K40" s="6" t="s">
        <v>22</v>
      </c>
      <c r="L40" s="6" t="s">
        <v>23</v>
      </c>
      <c r="M40" s="6" t="s">
        <v>151</v>
      </c>
      <c r="N40" s="8" t="s">
        <v>70</v>
      </c>
    </row>
    <row r="41" spans="1:14">
      <c r="A41" s="4" t="s">
        <v>162</v>
      </c>
      <c r="B41" s="5">
        <v>46057</v>
      </c>
      <c r="C41" s="6" t="s">
        <v>37</v>
      </c>
      <c r="D41" s="6" t="s">
        <v>38</v>
      </c>
      <c r="E41" s="6" t="s">
        <v>29</v>
      </c>
      <c r="F41" s="6" t="s">
        <v>18</v>
      </c>
      <c r="G41" s="6" t="s">
        <v>39</v>
      </c>
      <c r="H41" s="6" t="s">
        <v>61</v>
      </c>
      <c r="I41" s="6" t="s">
        <v>41</v>
      </c>
      <c r="J41" s="7">
        <v>13070</v>
      </c>
      <c r="K41" s="6" t="s">
        <v>22</v>
      </c>
      <c r="L41" s="6" t="s">
        <v>23</v>
      </c>
      <c r="M41" s="6" t="s">
        <v>151</v>
      </c>
      <c r="N41" s="8" t="s">
        <v>35</v>
      </c>
    </row>
    <row r="42" spans="1:14">
      <c r="A42" s="4" t="s">
        <v>163</v>
      </c>
      <c r="B42" s="5">
        <v>46060</v>
      </c>
      <c r="C42" s="6" t="s">
        <v>106</v>
      </c>
      <c r="D42" s="6" t="s">
        <v>107</v>
      </c>
      <c r="E42" s="6" t="s">
        <v>17</v>
      </c>
      <c r="F42" s="6" t="s">
        <v>46</v>
      </c>
      <c r="G42" s="6" t="s">
        <v>31</v>
      </c>
      <c r="H42" s="6" t="s">
        <v>68</v>
      </c>
      <c r="I42" s="6" t="s">
        <v>69</v>
      </c>
      <c r="J42" s="7">
        <v>99610</v>
      </c>
      <c r="K42" s="6" t="s">
        <v>22</v>
      </c>
      <c r="L42" s="6" t="s">
        <v>23</v>
      </c>
      <c r="M42" s="6" t="s">
        <v>151</v>
      </c>
      <c r="N42" s="8" t="s">
        <v>90</v>
      </c>
    </row>
    <row r="43" spans="1:14">
      <c r="A43" s="4" t="s">
        <v>164</v>
      </c>
      <c r="B43" s="5">
        <v>46060</v>
      </c>
      <c r="C43" s="6" t="s">
        <v>165</v>
      </c>
      <c r="D43" s="6" t="s">
        <v>166</v>
      </c>
      <c r="E43" s="6" t="s">
        <v>29</v>
      </c>
      <c r="F43" s="6" t="s">
        <v>115</v>
      </c>
      <c r="G43" s="6" t="s">
        <v>31</v>
      </c>
      <c r="H43" s="6" t="s">
        <v>32</v>
      </c>
      <c r="I43" s="6" t="s">
        <v>69</v>
      </c>
      <c r="J43" s="7">
        <v>57990</v>
      </c>
      <c r="K43" s="6" t="s">
        <v>22</v>
      </c>
      <c r="L43" s="6" t="s">
        <v>23</v>
      </c>
      <c r="M43" s="6" t="s">
        <v>151</v>
      </c>
      <c r="N43" s="8" t="s">
        <v>90</v>
      </c>
    </row>
    <row r="44" spans="1:14">
      <c r="A44" s="4" t="s">
        <v>167</v>
      </c>
      <c r="B44" s="5">
        <v>46060</v>
      </c>
      <c r="C44" s="6" t="s">
        <v>168</v>
      </c>
      <c r="D44" s="6" t="s">
        <v>169</v>
      </c>
      <c r="E44" s="6" t="s">
        <v>17</v>
      </c>
      <c r="F44" s="6" t="s">
        <v>46</v>
      </c>
      <c r="G44" s="6" t="s">
        <v>55</v>
      </c>
      <c r="H44" s="6" t="s">
        <v>158</v>
      </c>
      <c r="I44" s="6" t="s">
        <v>97</v>
      </c>
      <c r="J44" s="7">
        <v>23300</v>
      </c>
      <c r="K44" s="6" t="s">
        <v>57</v>
      </c>
      <c r="L44" s="6" t="s">
        <v>23</v>
      </c>
      <c r="M44" s="6" t="s">
        <v>151</v>
      </c>
      <c r="N44" s="8" t="s">
        <v>90</v>
      </c>
    </row>
    <row r="45" spans="1:14">
      <c r="A45" s="4" t="s">
        <v>170</v>
      </c>
      <c r="B45" s="5">
        <v>46060</v>
      </c>
      <c r="C45" s="6" t="s">
        <v>171</v>
      </c>
      <c r="D45" s="6" t="s">
        <v>172</v>
      </c>
      <c r="E45" s="6" t="s">
        <v>66</v>
      </c>
      <c r="F45" s="6" t="s">
        <v>81</v>
      </c>
      <c r="G45" s="6" t="s">
        <v>39</v>
      </c>
      <c r="H45" s="6" t="s">
        <v>123</v>
      </c>
      <c r="I45" s="6" t="s">
        <v>33</v>
      </c>
      <c r="J45" s="7">
        <v>2410</v>
      </c>
      <c r="K45" s="6" t="s">
        <v>22</v>
      </c>
      <c r="L45" s="6" t="s">
        <v>23</v>
      </c>
      <c r="M45" s="6" t="s">
        <v>151</v>
      </c>
      <c r="N45" s="8" t="s">
        <v>90</v>
      </c>
    </row>
    <row r="46" spans="1:14">
      <c r="A46" s="4" t="s">
        <v>173</v>
      </c>
      <c r="B46" s="5">
        <v>46060</v>
      </c>
      <c r="C46" s="6" t="s">
        <v>59</v>
      </c>
      <c r="D46" s="6" t="s">
        <v>60</v>
      </c>
      <c r="E46" s="6" t="s">
        <v>17</v>
      </c>
      <c r="F46" s="6" t="s">
        <v>18</v>
      </c>
      <c r="G46" s="6" t="s">
        <v>31</v>
      </c>
      <c r="H46" s="6" t="s">
        <v>144</v>
      </c>
      <c r="I46" s="6" t="s">
        <v>69</v>
      </c>
      <c r="J46" s="7">
        <v>28690</v>
      </c>
      <c r="K46" s="6" t="s">
        <v>22</v>
      </c>
      <c r="L46" s="6" t="s">
        <v>62</v>
      </c>
      <c r="M46" s="6" t="s">
        <v>151</v>
      </c>
      <c r="N46" s="8" t="s">
        <v>90</v>
      </c>
    </row>
    <row r="47" spans="1:14">
      <c r="A47" s="4" t="s">
        <v>174</v>
      </c>
      <c r="B47" s="5">
        <v>46061</v>
      </c>
      <c r="C47" s="6" t="s">
        <v>175</v>
      </c>
      <c r="D47" s="6" t="s">
        <v>176</v>
      </c>
      <c r="E47" s="6" t="s">
        <v>29</v>
      </c>
      <c r="F47" s="6" t="s">
        <v>30</v>
      </c>
      <c r="G47" s="6" t="s">
        <v>39</v>
      </c>
      <c r="H47" s="6" t="s">
        <v>123</v>
      </c>
      <c r="I47" s="6" t="s">
        <v>33</v>
      </c>
      <c r="J47" s="7">
        <v>3120</v>
      </c>
      <c r="K47" s="6" t="s">
        <v>22</v>
      </c>
      <c r="L47" s="6" t="s">
        <v>23</v>
      </c>
      <c r="M47" s="6" t="s">
        <v>151</v>
      </c>
      <c r="N47" s="8" t="s">
        <v>25</v>
      </c>
    </row>
    <row r="48" spans="1:14">
      <c r="A48" s="4" t="s">
        <v>177</v>
      </c>
      <c r="B48" s="5">
        <v>46061</v>
      </c>
      <c r="C48" s="6" t="s">
        <v>149</v>
      </c>
      <c r="D48" s="6" t="s">
        <v>150</v>
      </c>
      <c r="E48" s="6" t="s">
        <v>17</v>
      </c>
      <c r="F48" s="6" t="s">
        <v>18</v>
      </c>
      <c r="G48" s="6" t="s">
        <v>19</v>
      </c>
      <c r="H48" s="6" t="s">
        <v>178</v>
      </c>
      <c r="I48" s="6" t="s">
        <v>33</v>
      </c>
      <c r="J48" s="7">
        <v>18500</v>
      </c>
      <c r="K48" s="6" t="s">
        <v>22</v>
      </c>
      <c r="L48" s="6" t="s">
        <v>23</v>
      </c>
      <c r="M48" s="6" t="s">
        <v>151</v>
      </c>
      <c r="N48" s="8" t="s">
        <v>25</v>
      </c>
    </row>
    <row r="49" spans="1:14">
      <c r="A49" s="4" t="s">
        <v>179</v>
      </c>
      <c r="B49" s="5">
        <v>46061</v>
      </c>
      <c r="C49" s="6" t="s">
        <v>156</v>
      </c>
      <c r="D49" s="6" t="s">
        <v>157</v>
      </c>
      <c r="E49" s="6" t="s">
        <v>17</v>
      </c>
      <c r="F49" s="6" t="s">
        <v>115</v>
      </c>
      <c r="G49" s="6" t="s">
        <v>72</v>
      </c>
      <c r="H49" s="6" t="s">
        <v>180</v>
      </c>
      <c r="I49" s="6" t="s">
        <v>33</v>
      </c>
      <c r="J49" s="7">
        <v>7840</v>
      </c>
      <c r="K49" s="6" t="s">
        <v>22</v>
      </c>
      <c r="L49" s="6" t="s">
        <v>23</v>
      </c>
      <c r="M49" s="6" t="s">
        <v>151</v>
      </c>
      <c r="N49" s="8" t="s">
        <v>25</v>
      </c>
    </row>
    <row r="50" spans="1:14">
      <c r="A50" s="4" t="s">
        <v>181</v>
      </c>
      <c r="B50" s="5">
        <v>46062</v>
      </c>
      <c r="C50" s="6" t="s">
        <v>182</v>
      </c>
      <c r="D50" s="6" t="s">
        <v>107</v>
      </c>
      <c r="E50" s="6" t="s">
        <v>66</v>
      </c>
      <c r="F50" s="6" t="s">
        <v>46</v>
      </c>
      <c r="G50" s="6" t="s">
        <v>72</v>
      </c>
      <c r="H50" s="6" t="s">
        <v>180</v>
      </c>
      <c r="I50" s="6" t="s">
        <v>21</v>
      </c>
      <c r="J50" s="7">
        <v>12480</v>
      </c>
      <c r="K50" s="6" t="s">
        <v>22</v>
      </c>
      <c r="L50" s="6" t="s">
        <v>23</v>
      </c>
      <c r="M50" s="6" t="s">
        <v>151</v>
      </c>
      <c r="N50" s="8" t="s">
        <v>70</v>
      </c>
    </row>
    <row r="51" spans="1:14">
      <c r="A51" s="4" t="s">
        <v>183</v>
      </c>
      <c r="B51" s="5">
        <v>46063</v>
      </c>
      <c r="C51" s="6" t="s">
        <v>184</v>
      </c>
      <c r="D51" s="6" t="s">
        <v>185</v>
      </c>
      <c r="E51" s="6" t="s">
        <v>29</v>
      </c>
      <c r="F51" s="6" t="s">
        <v>186</v>
      </c>
      <c r="G51" s="6" t="s">
        <v>95</v>
      </c>
      <c r="H51" s="6" t="s">
        <v>96</v>
      </c>
      <c r="I51" s="6" t="s">
        <v>5</v>
      </c>
      <c r="J51" s="7">
        <v>5440</v>
      </c>
      <c r="K51" s="6" t="s">
        <v>22</v>
      </c>
      <c r="L51" s="6" t="s">
        <v>23</v>
      </c>
      <c r="M51" s="6" t="s">
        <v>151</v>
      </c>
      <c r="N51" s="8" t="s">
        <v>104</v>
      </c>
    </row>
    <row r="52" spans="1:14">
      <c r="A52" s="4" t="s">
        <v>187</v>
      </c>
      <c r="B52" s="5">
        <v>46064</v>
      </c>
      <c r="C52" s="6" t="s">
        <v>188</v>
      </c>
      <c r="D52" s="6" t="s">
        <v>189</v>
      </c>
      <c r="E52" s="6" t="s">
        <v>17</v>
      </c>
      <c r="F52" s="6" t="s">
        <v>50</v>
      </c>
      <c r="G52" s="6" t="s">
        <v>72</v>
      </c>
      <c r="H52" s="6" t="s">
        <v>180</v>
      </c>
      <c r="I52" s="6" t="s">
        <v>69</v>
      </c>
      <c r="J52" s="7">
        <v>7980</v>
      </c>
      <c r="K52" s="6" t="s">
        <v>22</v>
      </c>
      <c r="L52" s="6" t="s">
        <v>34</v>
      </c>
      <c r="M52" s="6" t="s">
        <v>151</v>
      </c>
      <c r="N52" s="8" t="s">
        <v>35</v>
      </c>
    </row>
    <row r="53" spans="1:14">
      <c r="A53" s="4" t="s">
        <v>190</v>
      </c>
      <c r="B53" s="5">
        <v>46064</v>
      </c>
      <c r="C53" s="6" t="s">
        <v>27</v>
      </c>
      <c r="D53" s="6" t="s">
        <v>28</v>
      </c>
      <c r="E53" s="6" t="s">
        <v>29</v>
      </c>
      <c r="F53" s="6" t="s">
        <v>30</v>
      </c>
      <c r="G53" s="6" t="s">
        <v>95</v>
      </c>
      <c r="H53" s="6" t="s">
        <v>96</v>
      </c>
      <c r="I53" s="6" t="s">
        <v>5</v>
      </c>
      <c r="J53" s="7">
        <v>38190</v>
      </c>
      <c r="K53" s="6" t="s">
        <v>22</v>
      </c>
      <c r="L53" s="6" t="s">
        <v>23</v>
      </c>
      <c r="M53" s="6" t="s">
        <v>151</v>
      </c>
      <c r="N53" s="8" t="s">
        <v>35</v>
      </c>
    </row>
    <row r="54" spans="1:14">
      <c r="A54" s="4" t="s">
        <v>191</v>
      </c>
      <c r="B54" s="5">
        <v>46064</v>
      </c>
      <c r="C54" s="6" t="s">
        <v>192</v>
      </c>
      <c r="D54" s="6" t="s">
        <v>147</v>
      </c>
      <c r="E54" s="6" t="s">
        <v>17</v>
      </c>
      <c r="F54" s="6" t="s">
        <v>81</v>
      </c>
      <c r="G54" s="6" t="s">
        <v>31</v>
      </c>
      <c r="H54" s="6" t="s">
        <v>101</v>
      </c>
      <c r="I54" s="6" t="s">
        <v>33</v>
      </c>
      <c r="J54" s="7">
        <v>49080</v>
      </c>
      <c r="K54" s="6" t="s">
        <v>22</v>
      </c>
      <c r="L54" s="6" t="s">
        <v>23</v>
      </c>
      <c r="M54" s="6" t="s">
        <v>151</v>
      </c>
      <c r="N54" s="8" t="s">
        <v>35</v>
      </c>
    </row>
    <row r="55" spans="1:14">
      <c r="A55" s="4" t="s">
        <v>193</v>
      </c>
      <c r="B55" s="5">
        <v>46066</v>
      </c>
      <c r="C55" s="6" t="s">
        <v>93</v>
      </c>
      <c r="D55" s="6" t="s">
        <v>94</v>
      </c>
      <c r="E55" s="6" t="s">
        <v>17</v>
      </c>
      <c r="F55" s="6" t="s">
        <v>67</v>
      </c>
      <c r="G55" s="6" t="s">
        <v>31</v>
      </c>
      <c r="H55" s="6" t="s">
        <v>68</v>
      </c>
      <c r="I55" s="6" t="s">
        <v>69</v>
      </c>
      <c r="J55" s="7">
        <v>62310</v>
      </c>
      <c r="K55" s="6" t="s">
        <v>22</v>
      </c>
      <c r="L55" s="6" t="s">
        <v>23</v>
      </c>
      <c r="M55" s="6" t="s">
        <v>151</v>
      </c>
      <c r="N55" s="8" t="s">
        <v>51</v>
      </c>
    </row>
    <row r="56" spans="1:14">
      <c r="A56" s="4" t="s">
        <v>194</v>
      </c>
      <c r="B56" s="5">
        <v>46066</v>
      </c>
      <c r="C56" s="6" t="s">
        <v>195</v>
      </c>
      <c r="D56" s="6" t="s">
        <v>196</v>
      </c>
      <c r="E56" s="6" t="s">
        <v>17</v>
      </c>
      <c r="F56" s="6" t="s">
        <v>50</v>
      </c>
      <c r="G56" s="6" t="s">
        <v>39</v>
      </c>
      <c r="H56" s="6" t="s">
        <v>123</v>
      </c>
      <c r="I56" s="6" t="s">
        <v>41</v>
      </c>
      <c r="J56" s="7">
        <v>28610</v>
      </c>
      <c r="K56" s="6" t="s">
        <v>22</v>
      </c>
      <c r="L56" s="6" t="s">
        <v>23</v>
      </c>
      <c r="M56" s="6" t="s">
        <v>151</v>
      </c>
      <c r="N56" s="8" t="s">
        <v>51</v>
      </c>
    </row>
    <row r="57" spans="1:14">
      <c r="A57" s="4" t="s">
        <v>197</v>
      </c>
      <c r="B57" s="5">
        <v>46069</v>
      </c>
      <c r="C57" s="6" t="s">
        <v>198</v>
      </c>
      <c r="D57" s="6" t="s">
        <v>88</v>
      </c>
      <c r="E57" s="6" t="s">
        <v>66</v>
      </c>
      <c r="F57" s="6" t="s">
        <v>81</v>
      </c>
      <c r="G57" s="6" t="s">
        <v>39</v>
      </c>
      <c r="H57" s="6" t="s">
        <v>61</v>
      </c>
      <c r="I57" s="6" t="s">
        <v>33</v>
      </c>
      <c r="J57" s="7">
        <v>17700</v>
      </c>
      <c r="K57" s="6" t="s">
        <v>22</v>
      </c>
      <c r="L57" s="6" t="s">
        <v>23</v>
      </c>
      <c r="M57" s="6" t="s">
        <v>151</v>
      </c>
      <c r="N57" s="8" t="s">
        <v>70</v>
      </c>
    </row>
    <row r="58" spans="1:14">
      <c r="A58" s="4" t="s">
        <v>199</v>
      </c>
      <c r="B58" s="5">
        <v>46069</v>
      </c>
      <c r="C58" s="6" t="s">
        <v>156</v>
      </c>
      <c r="D58" s="6" t="s">
        <v>157</v>
      </c>
      <c r="E58" s="6" t="s">
        <v>17</v>
      </c>
      <c r="F58" s="6" t="s">
        <v>115</v>
      </c>
      <c r="G58" s="6" t="s">
        <v>95</v>
      </c>
      <c r="H58" s="6" t="s">
        <v>96</v>
      </c>
      <c r="I58" s="6" t="s">
        <v>97</v>
      </c>
      <c r="J58" s="7">
        <v>2500</v>
      </c>
      <c r="K58" s="6" t="s">
        <v>22</v>
      </c>
      <c r="L58" s="6" t="s">
        <v>23</v>
      </c>
      <c r="M58" s="6" t="s">
        <v>151</v>
      </c>
      <c r="N58" s="8" t="s">
        <v>70</v>
      </c>
    </row>
    <row r="59" spans="1:14">
      <c r="A59" s="4" t="s">
        <v>200</v>
      </c>
      <c r="B59" s="5">
        <v>46069</v>
      </c>
      <c r="C59" s="6" t="s">
        <v>201</v>
      </c>
      <c r="D59" s="6" t="s">
        <v>202</v>
      </c>
      <c r="E59" s="6" t="s">
        <v>17</v>
      </c>
      <c r="F59" s="6" t="s">
        <v>30</v>
      </c>
      <c r="G59" s="6" t="s">
        <v>31</v>
      </c>
      <c r="H59" s="6" t="s">
        <v>101</v>
      </c>
      <c r="I59" s="6" t="s">
        <v>33</v>
      </c>
      <c r="J59" s="7">
        <v>42560</v>
      </c>
      <c r="K59" s="6" t="s">
        <v>22</v>
      </c>
      <c r="L59" s="6" t="s">
        <v>23</v>
      </c>
      <c r="M59" s="6" t="s">
        <v>151</v>
      </c>
      <c r="N59" s="8" t="s">
        <v>70</v>
      </c>
    </row>
    <row r="60" spans="1:14">
      <c r="A60" s="4" t="s">
        <v>203</v>
      </c>
      <c r="B60" s="5">
        <v>46069</v>
      </c>
      <c r="C60" s="6" t="s">
        <v>182</v>
      </c>
      <c r="D60" s="6" t="s">
        <v>107</v>
      </c>
      <c r="E60" s="6" t="s">
        <v>66</v>
      </c>
      <c r="F60" s="6" t="s">
        <v>46</v>
      </c>
      <c r="G60" s="6" t="s">
        <v>95</v>
      </c>
      <c r="H60" s="6" t="s">
        <v>96</v>
      </c>
      <c r="I60" s="6" t="s">
        <v>5</v>
      </c>
      <c r="J60" s="7">
        <v>35440</v>
      </c>
      <c r="K60" s="6" t="s">
        <v>22</v>
      </c>
      <c r="L60" s="6" t="s">
        <v>34</v>
      </c>
      <c r="M60" s="6" t="s">
        <v>151</v>
      </c>
      <c r="N60" s="8" t="s">
        <v>70</v>
      </c>
    </row>
    <row r="61" spans="1:14">
      <c r="A61" s="4" t="s">
        <v>204</v>
      </c>
      <c r="B61" s="5">
        <v>46069</v>
      </c>
      <c r="C61" s="6" t="s">
        <v>168</v>
      </c>
      <c r="D61" s="6" t="s">
        <v>169</v>
      </c>
      <c r="E61" s="6" t="s">
        <v>17</v>
      </c>
      <c r="F61" s="6" t="s">
        <v>46</v>
      </c>
      <c r="G61" s="6" t="s">
        <v>31</v>
      </c>
      <c r="H61" s="6" t="s">
        <v>32</v>
      </c>
      <c r="I61" s="6" t="s">
        <v>21</v>
      </c>
      <c r="J61" s="7">
        <v>45890</v>
      </c>
      <c r="K61" s="6" t="s">
        <v>22</v>
      </c>
      <c r="L61" s="6" t="s">
        <v>23</v>
      </c>
      <c r="M61" s="6" t="s">
        <v>151</v>
      </c>
      <c r="N61" s="8" t="s">
        <v>70</v>
      </c>
    </row>
    <row r="62" spans="1:14">
      <c r="A62" s="4" t="s">
        <v>205</v>
      </c>
      <c r="B62" s="5">
        <v>46070</v>
      </c>
      <c r="C62" s="6" t="s">
        <v>206</v>
      </c>
      <c r="D62" s="6" t="s">
        <v>207</v>
      </c>
      <c r="E62" s="6" t="s">
        <v>66</v>
      </c>
      <c r="F62" s="6" t="s">
        <v>50</v>
      </c>
      <c r="G62" s="6" t="s">
        <v>19</v>
      </c>
      <c r="H62" s="6" t="s">
        <v>178</v>
      </c>
      <c r="I62" s="6" t="s">
        <v>21</v>
      </c>
      <c r="J62" s="7">
        <v>7000</v>
      </c>
      <c r="K62" s="6" t="s">
        <v>22</v>
      </c>
      <c r="L62" s="6" t="s">
        <v>23</v>
      </c>
      <c r="M62" s="6" t="s">
        <v>151</v>
      </c>
      <c r="N62" s="8" t="s">
        <v>104</v>
      </c>
    </row>
    <row r="63" spans="1:14">
      <c r="A63" s="4" t="s">
        <v>208</v>
      </c>
      <c r="B63" s="5">
        <v>46072</v>
      </c>
      <c r="C63" s="6" t="s">
        <v>168</v>
      </c>
      <c r="D63" s="6" t="s">
        <v>169</v>
      </c>
      <c r="E63" s="6" t="s">
        <v>17</v>
      </c>
      <c r="F63" s="6" t="s">
        <v>46</v>
      </c>
      <c r="G63" s="6" t="s">
        <v>72</v>
      </c>
      <c r="H63" s="6" t="s">
        <v>73</v>
      </c>
      <c r="I63" s="6" t="s">
        <v>21</v>
      </c>
      <c r="J63" s="7">
        <v>4840</v>
      </c>
      <c r="K63" s="6" t="s">
        <v>22</v>
      </c>
      <c r="L63" s="6" t="s">
        <v>23</v>
      </c>
      <c r="M63" s="6" t="s">
        <v>151</v>
      </c>
      <c r="N63" s="8" t="s">
        <v>42</v>
      </c>
    </row>
    <row r="64" spans="1:14">
      <c r="A64" s="4" t="s">
        <v>209</v>
      </c>
      <c r="B64" s="5">
        <v>46073</v>
      </c>
      <c r="C64" s="6" t="s">
        <v>109</v>
      </c>
      <c r="D64" s="6" t="s">
        <v>110</v>
      </c>
      <c r="E64" s="6" t="s">
        <v>29</v>
      </c>
      <c r="F64" s="6" t="s">
        <v>81</v>
      </c>
      <c r="G64" s="6" t="s">
        <v>95</v>
      </c>
      <c r="H64" s="6" t="s">
        <v>96</v>
      </c>
      <c r="I64" s="6" t="s">
        <v>97</v>
      </c>
      <c r="J64" s="7">
        <v>10950</v>
      </c>
      <c r="K64" s="6" t="s">
        <v>22</v>
      </c>
      <c r="L64" s="6" t="s">
        <v>23</v>
      </c>
      <c r="M64" s="6" t="s">
        <v>151</v>
      </c>
      <c r="N64" s="8" t="s">
        <v>51</v>
      </c>
    </row>
    <row r="65" spans="1:14">
      <c r="A65" s="4" t="s">
        <v>210</v>
      </c>
      <c r="B65" s="5">
        <v>46073</v>
      </c>
      <c r="C65" s="6" t="s">
        <v>109</v>
      </c>
      <c r="D65" s="6" t="s">
        <v>110</v>
      </c>
      <c r="E65" s="6" t="s">
        <v>29</v>
      </c>
      <c r="F65" s="6" t="s">
        <v>81</v>
      </c>
      <c r="G65" s="6" t="s">
        <v>72</v>
      </c>
      <c r="H65" s="6" t="s">
        <v>89</v>
      </c>
      <c r="I65" s="6" t="s">
        <v>21</v>
      </c>
      <c r="J65" s="7">
        <v>6820</v>
      </c>
      <c r="K65" s="6" t="s">
        <v>22</v>
      </c>
      <c r="L65" s="6" t="s">
        <v>23</v>
      </c>
      <c r="M65" s="6" t="s">
        <v>151</v>
      </c>
      <c r="N65" s="8" t="s">
        <v>51</v>
      </c>
    </row>
    <row r="66" spans="1:14">
      <c r="A66" s="4" t="s">
        <v>211</v>
      </c>
      <c r="B66" s="5">
        <v>46074</v>
      </c>
      <c r="C66" s="6" t="s">
        <v>195</v>
      </c>
      <c r="D66" s="6" t="s">
        <v>196</v>
      </c>
      <c r="E66" s="6" t="s">
        <v>17</v>
      </c>
      <c r="F66" s="6" t="s">
        <v>50</v>
      </c>
      <c r="G66" s="6" t="s">
        <v>39</v>
      </c>
      <c r="H66" s="6" t="s">
        <v>40</v>
      </c>
      <c r="I66" s="6" t="s">
        <v>41</v>
      </c>
      <c r="J66" s="7">
        <v>21730</v>
      </c>
      <c r="K66" s="6" t="s">
        <v>22</v>
      </c>
      <c r="L66" s="6" t="s">
        <v>23</v>
      </c>
      <c r="M66" s="6" t="s">
        <v>151</v>
      </c>
      <c r="N66" s="8" t="s">
        <v>90</v>
      </c>
    </row>
    <row r="67" spans="1:14">
      <c r="A67" s="4" t="s">
        <v>212</v>
      </c>
      <c r="B67" s="5">
        <v>46075</v>
      </c>
      <c r="C67" s="6" t="s">
        <v>48</v>
      </c>
      <c r="D67" s="6" t="s">
        <v>49</v>
      </c>
      <c r="E67" s="6" t="s">
        <v>29</v>
      </c>
      <c r="F67" s="6" t="s">
        <v>50</v>
      </c>
      <c r="G67" s="6" t="s">
        <v>19</v>
      </c>
      <c r="H67" s="6" t="s">
        <v>20</v>
      </c>
      <c r="I67" s="6" t="s">
        <v>33</v>
      </c>
      <c r="J67" s="7">
        <v>44000</v>
      </c>
      <c r="K67" s="6" t="s">
        <v>22</v>
      </c>
      <c r="L67" s="6" t="s">
        <v>23</v>
      </c>
      <c r="M67" s="6" t="s">
        <v>151</v>
      </c>
      <c r="N67" s="8" t="s">
        <v>25</v>
      </c>
    </row>
    <row r="68" spans="1:14">
      <c r="A68" s="4" t="s">
        <v>213</v>
      </c>
      <c r="B68" s="5">
        <v>46075</v>
      </c>
      <c r="C68" s="6" t="s">
        <v>117</v>
      </c>
      <c r="D68" s="6" t="s">
        <v>118</v>
      </c>
      <c r="E68" s="6" t="s">
        <v>29</v>
      </c>
      <c r="F68" s="6" t="s">
        <v>81</v>
      </c>
      <c r="G68" s="6" t="s">
        <v>55</v>
      </c>
      <c r="H68" s="6" t="s">
        <v>214</v>
      </c>
      <c r="I68" s="6" t="s">
        <v>21</v>
      </c>
      <c r="J68" s="7">
        <v>68870</v>
      </c>
      <c r="K68" s="6" t="s">
        <v>57</v>
      </c>
      <c r="L68" s="6" t="s">
        <v>23</v>
      </c>
      <c r="M68" s="6" t="s">
        <v>151</v>
      </c>
      <c r="N68" s="8" t="s">
        <v>25</v>
      </c>
    </row>
    <row r="69" spans="1:14">
      <c r="A69" s="4" t="s">
        <v>215</v>
      </c>
      <c r="B69" s="5">
        <v>46076</v>
      </c>
      <c r="C69" s="6" t="s">
        <v>216</v>
      </c>
      <c r="D69" s="6" t="s">
        <v>217</v>
      </c>
      <c r="E69" s="6" t="s">
        <v>17</v>
      </c>
      <c r="F69" s="6" t="s">
        <v>67</v>
      </c>
      <c r="G69" s="6" t="s">
        <v>31</v>
      </c>
      <c r="H69" s="6" t="s">
        <v>144</v>
      </c>
      <c r="I69" s="6" t="s">
        <v>21</v>
      </c>
      <c r="J69" s="7">
        <v>66020</v>
      </c>
      <c r="K69" s="6" t="s">
        <v>22</v>
      </c>
      <c r="L69" s="6" t="s">
        <v>23</v>
      </c>
      <c r="M69" s="6" t="s">
        <v>151</v>
      </c>
      <c r="N69" s="8" t="s">
        <v>70</v>
      </c>
    </row>
    <row r="70" spans="1:14">
      <c r="A70" s="4" t="s">
        <v>218</v>
      </c>
      <c r="B70" s="5">
        <v>46078</v>
      </c>
      <c r="C70" s="6" t="s">
        <v>75</v>
      </c>
      <c r="D70" s="6" t="s">
        <v>76</v>
      </c>
      <c r="E70" s="6" t="s">
        <v>17</v>
      </c>
      <c r="F70" s="6" t="s">
        <v>46</v>
      </c>
      <c r="G70" s="6" t="s">
        <v>31</v>
      </c>
      <c r="H70" s="6" t="s">
        <v>144</v>
      </c>
      <c r="I70" s="6" t="s">
        <v>69</v>
      </c>
      <c r="J70" s="7">
        <v>78860</v>
      </c>
      <c r="K70" s="6" t="s">
        <v>22</v>
      </c>
      <c r="L70" s="6" t="s">
        <v>23</v>
      </c>
      <c r="M70" s="6" t="s">
        <v>151</v>
      </c>
      <c r="N70" s="8" t="s">
        <v>35</v>
      </c>
    </row>
    <row r="71" spans="1:14">
      <c r="A71" s="4" t="s">
        <v>219</v>
      </c>
      <c r="B71" s="5">
        <v>46078</v>
      </c>
      <c r="C71" s="6" t="s">
        <v>220</v>
      </c>
      <c r="D71" s="6" t="s">
        <v>161</v>
      </c>
      <c r="E71" s="6" t="s">
        <v>17</v>
      </c>
      <c r="F71" s="6" t="s">
        <v>67</v>
      </c>
      <c r="G71" s="6" t="s">
        <v>95</v>
      </c>
      <c r="H71" s="6" t="s">
        <v>96</v>
      </c>
      <c r="I71" s="6" t="s">
        <v>97</v>
      </c>
      <c r="J71" s="7">
        <v>24970</v>
      </c>
      <c r="K71" s="6" t="s">
        <v>22</v>
      </c>
      <c r="L71" s="6" t="s">
        <v>34</v>
      </c>
      <c r="M71" s="6" t="s">
        <v>151</v>
      </c>
      <c r="N71" s="8" t="s">
        <v>35</v>
      </c>
    </row>
    <row r="72" spans="1:14">
      <c r="A72" s="4" t="s">
        <v>221</v>
      </c>
      <c r="B72" s="5">
        <v>46078</v>
      </c>
      <c r="C72" s="6" t="s">
        <v>53</v>
      </c>
      <c r="D72" s="6" t="s">
        <v>54</v>
      </c>
      <c r="E72" s="6" t="s">
        <v>29</v>
      </c>
      <c r="F72" s="6" t="s">
        <v>46</v>
      </c>
      <c r="G72" s="6" t="s">
        <v>19</v>
      </c>
      <c r="H72" s="6" t="s">
        <v>178</v>
      </c>
      <c r="I72" s="6" t="s">
        <v>21</v>
      </c>
      <c r="J72" s="7">
        <v>14500</v>
      </c>
      <c r="K72" s="6" t="s">
        <v>22</v>
      </c>
      <c r="L72" s="6" t="s">
        <v>23</v>
      </c>
      <c r="M72" s="6" t="s">
        <v>151</v>
      </c>
      <c r="N72" s="8" t="s">
        <v>35</v>
      </c>
    </row>
    <row r="73" spans="1:14">
      <c r="A73" s="4" t="s">
        <v>222</v>
      </c>
      <c r="B73" s="5">
        <v>46079</v>
      </c>
      <c r="C73" s="6" t="s">
        <v>223</v>
      </c>
      <c r="D73" s="6" t="s">
        <v>224</v>
      </c>
      <c r="E73" s="6" t="s">
        <v>17</v>
      </c>
      <c r="F73" s="6" t="s">
        <v>46</v>
      </c>
      <c r="G73" s="6" t="s">
        <v>95</v>
      </c>
      <c r="H73" s="6" t="s">
        <v>96</v>
      </c>
      <c r="I73" s="6" t="s">
        <v>5</v>
      </c>
      <c r="J73" s="7">
        <v>5310</v>
      </c>
      <c r="K73" s="6" t="s">
        <v>22</v>
      </c>
      <c r="L73" s="6" t="s">
        <v>23</v>
      </c>
      <c r="M73" s="6" t="s">
        <v>151</v>
      </c>
      <c r="N73" s="8" t="s">
        <v>42</v>
      </c>
    </row>
    <row r="74" spans="1:14">
      <c r="A74" s="4" t="s">
        <v>225</v>
      </c>
      <c r="B74" s="5">
        <v>46080</v>
      </c>
      <c r="C74" s="6" t="s">
        <v>226</v>
      </c>
      <c r="D74" s="6" t="s">
        <v>227</v>
      </c>
      <c r="E74" s="6" t="s">
        <v>29</v>
      </c>
      <c r="F74" s="6" t="s">
        <v>81</v>
      </c>
      <c r="G74" s="6" t="s">
        <v>55</v>
      </c>
      <c r="H74" s="6" t="s">
        <v>158</v>
      </c>
      <c r="I74" s="6" t="s">
        <v>21</v>
      </c>
      <c r="J74" s="7">
        <v>109200</v>
      </c>
      <c r="K74" s="6" t="s">
        <v>57</v>
      </c>
      <c r="L74" s="6" t="s">
        <v>23</v>
      </c>
      <c r="M74" s="6" t="s">
        <v>151</v>
      </c>
      <c r="N74" s="8" t="s">
        <v>51</v>
      </c>
    </row>
    <row r="75" spans="1:14">
      <c r="A75" s="4" t="s">
        <v>228</v>
      </c>
      <c r="B75" s="5">
        <v>46081</v>
      </c>
      <c r="C75" s="6" t="s">
        <v>206</v>
      </c>
      <c r="D75" s="6" t="s">
        <v>207</v>
      </c>
      <c r="E75" s="6" t="s">
        <v>66</v>
      </c>
      <c r="F75" s="6" t="s">
        <v>50</v>
      </c>
      <c r="G75" s="6" t="s">
        <v>95</v>
      </c>
      <c r="H75" s="6" t="s">
        <v>96</v>
      </c>
      <c r="I75" s="6" t="s">
        <v>97</v>
      </c>
      <c r="J75" s="7">
        <v>36380</v>
      </c>
      <c r="K75" s="6" t="s">
        <v>22</v>
      </c>
      <c r="L75" s="6" t="s">
        <v>23</v>
      </c>
      <c r="M75" s="6" t="s">
        <v>151</v>
      </c>
      <c r="N75" s="8" t="s">
        <v>90</v>
      </c>
    </row>
    <row r="76" spans="1:14">
      <c r="A76" s="4" t="s">
        <v>229</v>
      </c>
      <c r="B76" s="5">
        <v>46082</v>
      </c>
      <c r="C76" s="6" t="s">
        <v>230</v>
      </c>
      <c r="D76" s="6" t="s">
        <v>231</v>
      </c>
      <c r="E76" s="6" t="s">
        <v>66</v>
      </c>
      <c r="F76" s="6" t="s">
        <v>186</v>
      </c>
      <c r="G76" s="6" t="s">
        <v>39</v>
      </c>
      <c r="H76" s="6" t="s">
        <v>85</v>
      </c>
      <c r="I76" s="6" t="s">
        <v>41</v>
      </c>
      <c r="J76" s="7">
        <v>17500</v>
      </c>
      <c r="K76" s="6" t="s">
        <v>22</v>
      </c>
      <c r="L76" s="6" t="s">
        <v>62</v>
      </c>
      <c r="M76" s="6" t="s">
        <v>232</v>
      </c>
      <c r="N76" s="8" t="s">
        <v>25</v>
      </c>
    </row>
    <row r="77" spans="1:14">
      <c r="A77" s="4" t="s">
        <v>233</v>
      </c>
      <c r="B77" s="5">
        <v>46082</v>
      </c>
      <c r="C77" s="6" t="s">
        <v>223</v>
      </c>
      <c r="D77" s="6" t="s">
        <v>224</v>
      </c>
      <c r="E77" s="6" t="s">
        <v>17</v>
      </c>
      <c r="F77" s="6" t="s">
        <v>46</v>
      </c>
      <c r="G77" s="6" t="s">
        <v>31</v>
      </c>
      <c r="H77" s="6" t="s">
        <v>32</v>
      </c>
      <c r="I77" s="6" t="s">
        <v>69</v>
      </c>
      <c r="J77" s="7">
        <v>82670</v>
      </c>
      <c r="K77" s="6" t="s">
        <v>22</v>
      </c>
      <c r="L77" s="6" t="s">
        <v>23</v>
      </c>
      <c r="M77" s="6" t="s">
        <v>232</v>
      </c>
      <c r="N77" s="8" t="s">
        <v>25</v>
      </c>
    </row>
    <row r="78" spans="1:14">
      <c r="A78" s="4" t="s">
        <v>234</v>
      </c>
      <c r="B78" s="5">
        <v>46083</v>
      </c>
      <c r="C78" s="6" t="s">
        <v>235</v>
      </c>
      <c r="D78" s="6" t="s">
        <v>236</v>
      </c>
      <c r="E78" s="6" t="s">
        <v>29</v>
      </c>
      <c r="F78" s="6" t="s">
        <v>115</v>
      </c>
      <c r="G78" s="6" t="s">
        <v>39</v>
      </c>
      <c r="H78" s="6" t="s">
        <v>61</v>
      </c>
      <c r="I78" s="6" t="s">
        <v>21</v>
      </c>
      <c r="J78" s="7">
        <v>27990</v>
      </c>
      <c r="K78" s="6" t="s">
        <v>22</v>
      </c>
      <c r="L78" s="6" t="s">
        <v>23</v>
      </c>
      <c r="M78" s="6" t="s">
        <v>232</v>
      </c>
      <c r="N78" s="8" t="s">
        <v>70</v>
      </c>
    </row>
    <row r="79" spans="1:14">
      <c r="A79" s="4" t="s">
        <v>237</v>
      </c>
      <c r="B79" s="5">
        <v>46083</v>
      </c>
      <c r="C79" s="6" t="s">
        <v>184</v>
      </c>
      <c r="D79" s="6" t="s">
        <v>185</v>
      </c>
      <c r="E79" s="6" t="s">
        <v>29</v>
      </c>
      <c r="F79" s="6" t="s">
        <v>186</v>
      </c>
      <c r="G79" s="6" t="s">
        <v>19</v>
      </c>
      <c r="H79" s="6" t="s">
        <v>111</v>
      </c>
      <c r="I79" s="6" t="s">
        <v>69</v>
      </c>
      <c r="J79" s="7">
        <v>23000</v>
      </c>
      <c r="K79" s="6" t="s">
        <v>22</v>
      </c>
      <c r="L79" s="6" t="s">
        <v>62</v>
      </c>
      <c r="M79" s="6" t="s">
        <v>232</v>
      </c>
      <c r="N79" s="8" t="s">
        <v>70</v>
      </c>
    </row>
    <row r="80" spans="1:14">
      <c r="A80" s="4" t="s">
        <v>238</v>
      </c>
      <c r="B80" s="5">
        <v>46083</v>
      </c>
      <c r="C80" s="6" t="s">
        <v>239</v>
      </c>
      <c r="D80" s="6" t="s">
        <v>240</v>
      </c>
      <c r="E80" s="6" t="s">
        <v>29</v>
      </c>
      <c r="F80" s="6" t="s">
        <v>81</v>
      </c>
      <c r="G80" s="6" t="s">
        <v>39</v>
      </c>
      <c r="H80" s="6" t="s">
        <v>40</v>
      </c>
      <c r="I80" s="6" t="s">
        <v>21</v>
      </c>
      <c r="J80" s="7">
        <v>11150</v>
      </c>
      <c r="K80" s="6" t="s">
        <v>22</v>
      </c>
      <c r="L80" s="6" t="s">
        <v>23</v>
      </c>
      <c r="M80" s="6" t="s">
        <v>232</v>
      </c>
      <c r="N80" s="8" t="s">
        <v>70</v>
      </c>
    </row>
    <row r="81" spans="1:14">
      <c r="A81" s="4" t="s">
        <v>241</v>
      </c>
      <c r="B81" s="5">
        <v>46083</v>
      </c>
      <c r="C81" s="6" t="s">
        <v>201</v>
      </c>
      <c r="D81" s="6" t="s">
        <v>202</v>
      </c>
      <c r="E81" s="6" t="s">
        <v>17</v>
      </c>
      <c r="F81" s="6" t="s">
        <v>30</v>
      </c>
      <c r="G81" s="6" t="s">
        <v>39</v>
      </c>
      <c r="H81" s="6" t="s">
        <v>40</v>
      </c>
      <c r="I81" s="6" t="s">
        <v>21</v>
      </c>
      <c r="J81" s="7">
        <v>27450</v>
      </c>
      <c r="K81" s="6" t="s">
        <v>22</v>
      </c>
      <c r="L81" s="6" t="s">
        <v>23</v>
      </c>
      <c r="M81" s="6" t="s">
        <v>232</v>
      </c>
      <c r="N81" s="8" t="s">
        <v>70</v>
      </c>
    </row>
    <row r="82" spans="1:14">
      <c r="A82" s="4" t="s">
        <v>242</v>
      </c>
      <c r="B82" s="5">
        <v>46085</v>
      </c>
      <c r="C82" s="6" t="s">
        <v>243</v>
      </c>
      <c r="D82" s="6" t="s">
        <v>244</v>
      </c>
      <c r="E82" s="6" t="s">
        <v>29</v>
      </c>
      <c r="F82" s="6" t="s">
        <v>81</v>
      </c>
      <c r="G82" s="6" t="s">
        <v>39</v>
      </c>
      <c r="H82" s="6" t="s">
        <v>61</v>
      </c>
      <c r="I82" s="6" t="s">
        <v>33</v>
      </c>
      <c r="J82" s="7">
        <v>24020</v>
      </c>
      <c r="K82" s="6" t="s">
        <v>22</v>
      </c>
      <c r="L82" s="6" t="s">
        <v>23</v>
      </c>
      <c r="M82" s="6" t="s">
        <v>232</v>
      </c>
      <c r="N82" s="8" t="s">
        <v>35</v>
      </c>
    </row>
    <row r="83" spans="1:14">
      <c r="A83" s="4" t="s">
        <v>245</v>
      </c>
      <c r="B83" s="5">
        <v>46086</v>
      </c>
      <c r="C83" s="6" t="s">
        <v>165</v>
      </c>
      <c r="D83" s="6" t="s">
        <v>166</v>
      </c>
      <c r="E83" s="6" t="s">
        <v>29</v>
      </c>
      <c r="F83" s="6" t="s">
        <v>115</v>
      </c>
      <c r="G83" s="6" t="s">
        <v>31</v>
      </c>
      <c r="H83" s="6" t="s">
        <v>101</v>
      </c>
      <c r="I83" s="6" t="s">
        <v>69</v>
      </c>
      <c r="J83" s="7">
        <v>67560</v>
      </c>
      <c r="K83" s="6" t="s">
        <v>22</v>
      </c>
      <c r="L83" s="6" t="s">
        <v>23</v>
      </c>
      <c r="M83" s="6" t="s">
        <v>232</v>
      </c>
      <c r="N83" s="8" t="s">
        <v>42</v>
      </c>
    </row>
    <row r="84" spans="1:14">
      <c r="A84" s="4" t="s">
        <v>246</v>
      </c>
      <c r="B84" s="5">
        <v>46087</v>
      </c>
      <c r="C84" s="6" t="s">
        <v>247</v>
      </c>
      <c r="D84" s="6" t="s">
        <v>248</v>
      </c>
      <c r="E84" s="6" t="s">
        <v>17</v>
      </c>
      <c r="F84" s="6" t="s">
        <v>50</v>
      </c>
      <c r="G84" s="6" t="s">
        <v>39</v>
      </c>
      <c r="H84" s="6" t="s">
        <v>103</v>
      </c>
      <c r="I84" s="6" t="s">
        <v>21</v>
      </c>
      <c r="J84" s="7">
        <v>26120</v>
      </c>
      <c r="K84" s="6" t="s">
        <v>22</v>
      </c>
      <c r="L84" s="6" t="s">
        <v>23</v>
      </c>
      <c r="M84" s="6" t="s">
        <v>232</v>
      </c>
      <c r="N84" s="8" t="s">
        <v>51</v>
      </c>
    </row>
    <row r="85" spans="1:14">
      <c r="A85" s="4" t="s">
        <v>249</v>
      </c>
      <c r="B85" s="5">
        <v>46088</v>
      </c>
      <c r="C85" s="6" t="s">
        <v>156</v>
      </c>
      <c r="D85" s="6" t="s">
        <v>157</v>
      </c>
      <c r="E85" s="6" t="s">
        <v>17</v>
      </c>
      <c r="F85" s="6" t="s">
        <v>115</v>
      </c>
      <c r="G85" s="6" t="s">
        <v>19</v>
      </c>
      <c r="H85" s="6" t="s">
        <v>20</v>
      </c>
      <c r="I85" s="6" t="s">
        <v>69</v>
      </c>
      <c r="J85" s="7">
        <v>45000</v>
      </c>
      <c r="K85" s="6" t="s">
        <v>22</v>
      </c>
      <c r="L85" s="6" t="s">
        <v>23</v>
      </c>
      <c r="M85" s="6" t="s">
        <v>232</v>
      </c>
      <c r="N85" s="8" t="s">
        <v>90</v>
      </c>
    </row>
    <row r="86" spans="1:14">
      <c r="A86" s="4" t="s">
        <v>250</v>
      </c>
      <c r="B86" s="5">
        <v>46088</v>
      </c>
      <c r="C86" s="6" t="s">
        <v>251</v>
      </c>
      <c r="D86" s="6" t="s">
        <v>252</v>
      </c>
      <c r="E86" s="6" t="s">
        <v>29</v>
      </c>
      <c r="F86" s="6" t="s">
        <v>50</v>
      </c>
      <c r="G86" s="6" t="s">
        <v>31</v>
      </c>
      <c r="H86" s="6" t="s">
        <v>68</v>
      </c>
      <c r="I86" s="6" t="s">
        <v>33</v>
      </c>
      <c r="J86" s="7">
        <v>56230</v>
      </c>
      <c r="K86" s="6" t="s">
        <v>22</v>
      </c>
      <c r="L86" s="6" t="s">
        <v>23</v>
      </c>
      <c r="M86" s="6" t="s">
        <v>232</v>
      </c>
      <c r="N86" s="8" t="s">
        <v>90</v>
      </c>
    </row>
    <row r="87" spans="1:14">
      <c r="A87" s="4" t="s">
        <v>253</v>
      </c>
      <c r="B87" s="5">
        <v>46089</v>
      </c>
      <c r="C87" s="6" t="s">
        <v>44</v>
      </c>
      <c r="D87" s="6" t="s">
        <v>45</v>
      </c>
      <c r="E87" s="6" t="s">
        <v>17</v>
      </c>
      <c r="F87" s="6" t="s">
        <v>46</v>
      </c>
      <c r="G87" s="6" t="s">
        <v>55</v>
      </c>
      <c r="H87" s="6" t="s">
        <v>158</v>
      </c>
      <c r="I87" s="6" t="s">
        <v>5</v>
      </c>
      <c r="J87" s="7">
        <v>52800</v>
      </c>
      <c r="K87" s="6" t="s">
        <v>57</v>
      </c>
      <c r="L87" s="6" t="s">
        <v>23</v>
      </c>
      <c r="M87" s="6" t="s">
        <v>232</v>
      </c>
      <c r="N87" s="8" t="s">
        <v>25</v>
      </c>
    </row>
    <row r="88" spans="1:14">
      <c r="A88" s="4" t="s">
        <v>254</v>
      </c>
      <c r="B88" s="5">
        <v>46089</v>
      </c>
      <c r="C88" s="6" t="s">
        <v>75</v>
      </c>
      <c r="D88" s="6" t="s">
        <v>76</v>
      </c>
      <c r="E88" s="6" t="s">
        <v>17</v>
      </c>
      <c r="F88" s="6" t="s">
        <v>46</v>
      </c>
      <c r="G88" s="6" t="s">
        <v>19</v>
      </c>
      <c r="H88" s="6" t="s">
        <v>111</v>
      </c>
      <c r="I88" s="6" t="s">
        <v>21</v>
      </c>
      <c r="J88" s="7">
        <v>17500</v>
      </c>
      <c r="K88" s="6" t="s">
        <v>22</v>
      </c>
      <c r="L88" s="6" t="s">
        <v>23</v>
      </c>
      <c r="M88" s="6" t="s">
        <v>232</v>
      </c>
      <c r="N88" s="8" t="s">
        <v>25</v>
      </c>
    </row>
    <row r="89" spans="1:14">
      <c r="A89" s="4" t="s">
        <v>255</v>
      </c>
      <c r="B89" s="5">
        <v>46090</v>
      </c>
      <c r="C89" s="6" t="s">
        <v>37</v>
      </c>
      <c r="D89" s="6" t="s">
        <v>38</v>
      </c>
      <c r="E89" s="6" t="s">
        <v>29</v>
      </c>
      <c r="F89" s="6" t="s">
        <v>18</v>
      </c>
      <c r="G89" s="6" t="s">
        <v>39</v>
      </c>
      <c r="H89" s="6" t="s">
        <v>40</v>
      </c>
      <c r="I89" s="6" t="s">
        <v>21</v>
      </c>
      <c r="J89" s="7">
        <v>22470</v>
      </c>
      <c r="K89" s="6" t="s">
        <v>22</v>
      </c>
      <c r="L89" s="6" t="s">
        <v>23</v>
      </c>
      <c r="M89" s="6" t="s">
        <v>232</v>
      </c>
      <c r="N89" s="8" t="s">
        <v>70</v>
      </c>
    </row>
    <row r="90" spans="1:14">
      <c r="A90" s="4" t="s">
        <v>256</v>
      </c>
      <c r="B90" s="5">
        <v>46090</v>
      </c>
      <c r="C90" s="6" t="s">
        <v>75</v>
      </c>
      <c r="D90" s="6" t="s">
        <v>76</v>
      </c>
      <c r="E90" s="6" t="s">
        <v>17</v>
      </c>
      <c r="F90" s="6" t="s">
        <v>46</v>
      </c>
      <c r="G90" s="6" t="s">
        <v>31</v>
      </c>
      <c r="H90" s="6" t="s">
        <v>68</v>
      </c>
      <c r="I90" s="6" t="s">
        <v>21</v>
      </c>
      <c r="J90" s="7">
        <v>18900</v>
      </c>
      <c r="K90" s="6" t="s">
        <v>22</v>
      </c>
      <c r="L90" s="6" t="s">
        <v>23</v>
      </c>
      <c r="M90" s="6" t="s">
        <v>232</v>
      </c>
      <c r="N90" s="8" t="s">
        <v>70</v>
      </c>
    </row>
    <row r="91" spans="1:14">
      <c r="A91" s="4" t="s">
        <v>257</v>
      </c>
      <c r="B91" s="5">
        <v>46093</v>
      </c>
      <c r="C91" s="6" t="s">
        <v>106</v>
      </c>
      <c r="D91" s="6" t="s">
        <v>107</v>
      </c>
      <c r="E91" s="6" t="s">
        <v>17</v>
      </c>
      <c r="F91" s="6" t="s">
        <v>46</v>
      </c>
      <c r="G91" s="6" t="s">
        <v>39</v>
      </c>
      <c r="H91" s="6" t="s">
        <v>103</v>
      </c>
      <c r="I91" s="6" t="s">
        <v>41</v>
      </c>
      <c r="J91" s="7">
        <v>12330</v>
      </c>
      <c r="K91" s="6" t="s">
        <v>22</v>
      </c>
      <c r="L91" s="6" t="s">
        <v>34</v>
      </c>
      <c r="M91" s="6" t="s">
        <v>232</v>
      </c>
      <c r="N91" s="8" t="s">
        <v>42</v>
      </c>
    </row>
    <row r="92" spans="1:14">
      <c r="A92" s="4" t="s">
        <v>258</v>
      </c>
      <c r="B92" s="5">
        <v>46094</v>
      </c>
      <c r="C92" s="6" t="s">
        <v>247</v>
      </c>
      <c r="D92" s="6" t="s">
        <v>248</v>
      </c>
      <c r="E92" s="6" t="s">
        <v>17</v>
      </c>
      <c r="F92" s="6" t="s">
        <v>50</v>
      </c>
      <c r="G92" s="6" t="s">
        <v>39</v>
      </c>
      <c r="H92" s="6" t="s">
        <v>61</v>
      </c>
      <c r="I92" s="6" t="s">
        <v>41</v>
      </c>
      <c r="J92" s="7">
        <v>24510</v>
      </c>
      <c r="K92" s="6" t="s">
        <v>22</v>
      </c>
      <c r="L92" s="6" t="s">
        <v>23</v>
      </c>
      <c r="M92" s="6" t="s">
        <v>232</v>
      </c>
      <c r="N92" s="8" t="s">
        <v>51</v>
      </c>
    </row>
    <row r="93" spans="1:14">
      <c r="A93" s="4" t="s">
        <v>259</v>
      </c>
      <c r="B93" s="5">
        <v>46096</v>
      </c>
      <c r="C93" s="6" t="s">
        <v>87</v>
      </c>
      <c r="D93" s="6" t="s">
        <v>88</v>
      </c>
      <c r="E93" s="6" t="s">
        <v>29</v>
      </c>
      <c r="F93" s="6" t="s">
        <v>81</v>
      </c>
      <c r="G93" s="6" t="s">
        <v>31</v>
      </c>
      <c r="H93" s="6" t="s">
        <v>68</v>
      </c>
      <c r="I93" s="6" t="s">
        <v>21</v>
      </c>
      <c r="J93" s="7">
        <v>56680</v>
      </c>
      <c r="K93" s="6" t="s">
        <v>22</v>
      </c>
      <c r="L93" s="6" t="s">
        <v>34</v>
      </c>
      <c r="M93" s="6" t="s">
        <v>232</v>
      </c>
      <c r="N93" s="8" t="s">
        <v>25</v>
      </c>
    </row>
    <row r="94" spans="1:14">
      <c r="A94" s="4" t="s">
        <v>260</v>
      </c>
      <c r="B94" s="5">
        <v>46097</v>
      </c>
      <c r="C94" s="6" t="s">
        <v>93</v>
      </c>
      <c r="D94" s="6" t="s">
        <v>94</v>
      </c>
      <c r="E94" s="6" t="s">
        <v>17</v>
      </c>
      <c r="F94" s="6" t="s">
        <v>67</v>
      </c>
      <c r="G94" s="6" t="s">
        <v>55</v>
      </c>
      <c r="H94" s="6" t="s">
        <v>158</v>
      </c>
      <c r="I94" s="6" t="s">
        <v>97</v>
      </c>
      <c r="J94" s="7">
        <v>55220</v>
      </c>
      <c r="K94" s="6" t="s">
        <v>57</v>
      </c>
      <c r="L94" s="6" t="s">
        <v>23</v>
      </c>
      <c r="M94" s="6" t="s">
        <v>232</v>
      </c>
      <c r="N94" s="8" t="s">
        <v>70</v>
      </c>
    </row>
    <row r="95" spans="1:14">
      <c r="A95" s="4" t="s">
        <v>261</v>
      </c>
      <c r="B95" s="5">
        <v>46098</v>
      </c>
      <c r="C95" s="6" t="s">
        <v>262</v>
      </c>
      <c r="D95" s="6" t="s">
        <v>263</v>
      </c>
      <c r="E95" s="6" t="s">
        <v>66</v>
      </c>
      <c r="F95" s="6" t="s">
        <v>18</v>
      </c>
      <c r="G95" s="6" t="s">
        <v>55</v>
      </c>
      <c r="H95" s="6" t="s">
        <v>264</v>
      </c>
      <c r="I95" s="6" t="s">
        <v>5</v>
      </c>
      <c r="J95" s="7">
        <v>135340</v>
      </c>
      <c r="K95" s="6" t="s">
        <v>57</v>
      </c>
      <c r="L95" s="6" t="s">
        <v>23</v>
      </c>
      <c r="M95" s="6" t="s">
        <v>232</v>
      </c>
      <c r="N95" s="8" t="s">
        <v>104</v>
      </c>
    </row>
    <row r="96" spans="1:14">
      <c r="A96" s="4" t="s">
        <v>265</v>
      </c>
      <c r="B96" s="5">
        <v>46099</v>
      </c>
      <c r="C96" s="6" t="s">
        <v>146</v>
      </c>
      <c r="D96" s="6" t="s">
        <v>147</v>
      </c>
      <c r="E96" s="6" t="s">
        <v>29</v>
      </c>
      <c r="F96" s="6" t="s">
        <v>50</v>
      </c>
      <c r="G96" s="6" t="s">
        <v>95</v>
      </c>
      <c r="H96" s="6" t="s">
        <v>96</v>
      </c>
      <c r="I96" s="6" t="s">
        <v>5</v>
      </c>
      <c r="J96" s="7">
        <v>5090</v>
      </c>
      <c r="K96" s="6" t="s">
        <v>22</v>
      </c>
      <c r="L96" s="6" t="s">
        <v>23</v>
      </c>
      <c r="M96" s="6" t="s">
        <v>232</v>
      </c>
      <c r="N96" s="8" t="s">
        <v>35</v>
      </c>
    </row>
    <row r="97" spans="1:14">
      <c r="A97" s="4" t="s">
        <v>266</v>
      </c>
      <c r="B97" s="5">
        <v>46100</v>
      </c>
      <c r="C97" s="6" t="s">
        <v>83</v>
      </c>
      <c r="D97" s="6" t="s">
        <v>84</v>
      </c>
      <c r="E97" s="6" t="s">
        <v>29</v>
      </c>
      <c r="F97" s="6" t="s">
        <v>18</v>
      </c>
      <c r="G97" s="6" t="s">
        <v>39</v>
      </c>
      <c r="H97" s="6" t="s">
        <v>123</v>
      </c>
      <c r="I97" s="6" t="s">
        <v>21</v>
      </c>
      <c r="J97" s="7">
        <v>2740</v>
      </c>
      <c r="K97" s="6" t="s">
        <v>22</v>
      </c>
      <c r="L97" s="6" t="s">
        <v>23</v>
      </c>
      <c r="M97" s="6" t="s">
        <v>232</v>
      </c>
      <c r="N97" s="8" t="s">
        <v>42</v>
      </c>
    </row>
    <row r="98" spans="1:14">
      <c r="A98" s="4" t="s">
        <v>267</v>
      </c>
      <c r="B98" s="5">
        <v>46100</v>
      </c>
      <c r="C98" s="6" t="s">
        <v>129</v>
      </c>
      <c r="D98" s="6" t="s">
        <v>130</v>
      </c>
      <c r="E98" s="6" t="s">
        <v>29</v>
      </c>
      <c r="F98" s="6" t="s">
        <v>46</v>
      </c>
      <c r="G98" s="6" t="s">
        <v>31</v>
      </c>
      <c r="H98" s="6" t="s">
        <v>68</v>
      </c>
      <c r="I98" s="6" t="s">
        <v>33</v>
      </c>
      <c r="J98" s="7">
        <v>98260</v>
      </c>
      <c r="K98" s="6" t="s">
        <v>22</v>
      </c>
      <c r="L98" s="6" t="s">
        <v>23</v>
      </c>
      <c r="M98" s="6" t="s">
        <v>232</v>
      </c>
      <c r="N98" s="8" t="s">
        <v>42</v>
      </c>
    </row>
    <row r="99" spans="1:14">
      <c r="A99" s="4" t="s">
        <v>268</v>
      </c>
      <c r="B99" s="5">
        <v>46101</v>
      </c>
      <c r="C99" s="6" t="s">
        <v>262</v>
      </c>
      <c r="D99" s="6" t="s">
        <v>263</v>
      </c>
      <c r="E99" s="6" t="s">
        <v>66</v>
      </c>
      <c r="F99" s="6" t="s">
        <v>18</v>
      </c>
      <c r="G99" s="6" t="s">
        <v>55</v>
      </c>
      <c r="H99" s="6" t="s">
        <v>56</v>
      </c>
      <c r="I99" s="6" t="s">
        <v>33</v>
      </c>
      <c r="J99" s="7">
        <v>44160</v>
      </c>
      <c r="K99" s="6" t="s">
        <v>57</v>
      </c>
      <c r="L99" s="6" t="s">
        <v>23</v>
      </c>
      <c r="M99" s="6" t="s">
        <v>232</v>
      </c>
      <c r="N99" s="8" t="s">
        <v>51</v>
      </c>
    </row>
    <row r="100" spans="1:14">
      <c r="A100" s="4" t="s">
        <v>269</v>
      </c>
      <c r="B100" s="5">
        <v>46102</v>
      </c>
      <c r="C100" s="6" t="s">
        <v>270</v>
      </c>
      <c r="D100" s="6" t="s">
        <v>271</v>
      </c>
      <c r="E100" s="6" t="s">
        <v>17</v>
      </c>
      <c r="F100" s="6" t="s">
        <v>50</v>
      </c>
      <c r="G100" s="6" t="s">
        <v>95</v>
      </c>
      <c r="H100" s="6" t="s">
        <v>96</v>
      </c>
      <c r="I100" s="6" t="s">
        <v>97</v>
      </c>
      <c r="J100" s="7">
        <v>23380</v>
      </c>
      <c r="K100" s="6" t="s">
        <v>22</v>
      </c>
      <c r="L100" s="6" t="s">
        <v>23</v>
      </c>
      <c r="M100" s="6" t="s">
        <v>232</v>
      </c>
      <c r="N100" s="8" t="s">
        <v>90</v>
      </c>
    </row>
    <row r="101" spans="1:14">
      <c r="A101" s="4" t="s">
        <v>272</v>
      </c>
      <c r="B101" s="5">
        <v>46103</v>
      </c>
      <c r="C101" s="6" t="s">
        <v>153</v>
      </c>
      <c r="D101" s="6" t="s">
        <v>154</v>
      </c>
      <c r="E101" s="6" t="s">
        <v>29</v>
      </c>
      <c r="F101" s="6" t="s">
        <v>18</v>
      </c>
      <c r="G101" s="6" t="s">
        <v>19</v>
      </c>
      <c r="H101" s="6" t="s">
        <v>178</v>
      </c>
      <c r="I101" s="6" t="s">
        <v>69</v>
      </c>
      <c r="J101" s="7">
        <v>30500</v>
      </c>
      <c r="K101" s="6" t="s">
        <v>22</v>
      </c>
      <c r="L101" s="6" t="s">
        <v>23</v>
      </c>
      <c r="M101" s="6" t="s">
        <v>232</v>
      </c>
      <c r="N101" s="8" t="s">
        <v>25</v>
      </c>
    </row>
    <row r="102" spans="1:14">
      <c r="A102" s="4" t="s">
        <v>273</v>
      </c>
      <c r="B102" s="5">
        <v>46103</v>
      </c>
      <c r="C102" s="6" t="s">
        <v>175</v>
      </c>
      <c r="D102" s="6" t="s">
        <v>176</v>
      </c>
      <c r="E102" s="6" t="s">
        <v>29</v>
      </c>
      <c r="F102" s="6" t="s">
        <v>30</v>
      </c>
      <c r="G102" s="6" t="s">
        <v>31</v>
      </c>
      <c r="H102" s="6" t="s">
        <v>101</v>
      </c>
      <c r="I102" s="6" t="s">
        <v>33</v>
      </c>
      <c r="J102" s="7">
        <v>21200</v>
      </c>
      <c r="K102" s="6" t="s">
        <v>22</v>
      </c>
      <c r="L102" s="6" t="s">
        <v>23</v>
      </c>
      <c r="M102" s="6" t="s">
        <v>232</v>
      </c>
      <c r="N102" s="8" t="s">
        <v>25</v>
      </c>
    </row>
    <row r="103" spans="1:14">
      <c r="A103" s="4" t="s">
        <v>274</v>
      </c>
      <c r="B103" s="5">
        <v>46104</v>
      </c>
      <c r="C103" s="6" t="s">
        <v>201</v>
      </c>
      <c r="D103" s="6" t="s">
        <v>202</v>
      </c>
      <c r="E103" s="6" t="s">
        <v>17</v>
      </c>
      <c r="F103" s="6" t="s">
        <v>30</v>
      </c>
      <c r="G103" s="6" t="s">
        <v>39</v>
      </c>
      <c r="H103" s="6" t="s">
        <v>61</v>
      </c>
      <c r="I103" s="6" t="s">
        <v>21</v>
      </c>
      <c r="J103" s="7">
        <v>7920</v>
      </c>
      <c r="K103" s="6" t="s">
        <v>22</v>
      </c>
      <c r="L103" s="6" t="s">
        <v>23</v>
      </c>
      <c r="M103" s="6" t="s">
        <v>232</v>
      </c>
      <c r="N103" s="8" t="s">
        <v>70</v>
      </c>
    </row>
    <row r="104" spans="1:14">
      <c r="A104" s="4" t="s">
        <v>275</v>
      </c>
      <c r="B104" s="5">
        <v>46106</v>
      </c>
      <c r="C104" s="6" t="s">
        <v>87</v>
      </c>
      <c r="D104" s="6" t="s">
        <v>88</v>
      </c>
      <c r="E104" s="6" t="s">
        <v>29</v>
      </c>
      <c r="F104" s="6" t="s">
        <v>81</v>
      </c>
      <c r="G104" s="6" t="s">
        <v>39</v>
      </c>
      <c r="H104" s="6" t="s">
        <v>61</v>
      </c>
      <c r="I104" s="6" t="s">
        <v>21</v>
      </c>
      <c r="J104" s="7">
        <v>940</v>
      </c>
      <c r="K104" s="6" t="s">
        <v>22</v>
      </c>
      <c r="L104" s="6" t="s">
        <v>23</v>
      </c>
      <c r="M104" s="6" t="s">
        <v>232</v>
      </c>
      <c r="N104" s="8" t="s">
        <v>35</v>
      </c>
    </row>
    <row r="105" spans="1:14">
      <c r="A105" s="4" t="s">
        <v>276</v>
      </c>
      <c r="B105" s="5">
        <v>46106</v>
      </c>
      <c r="C105" s="6" t="s">
        <v>64</v>
      </c>
      <c r="D105" s="6" t="s">
        <v>65</v>
      </c>
      <c r="E105" s="6" t="s">
        <v>66</v>
      </c>
      <c r="F105" s="6" t="s">
        <v>67</v>
      </c>
      <c r="G105" s="6" t="s">
        <v>55</v>
      </c>
      <c r="H105" s="6" t="s">
        <v>56</v>
      </c>
      <c r="I105" s="6" t="s">
        <v>21</v>
      </c>
      <c r="J105" s="7">
        <v>88490</v>
      </c>
      <c r="K105" s="6" t="s">
        <v>57</v>
      </c>
      <c r="L105" s="6" t="s">
        <v>23</v>
      </c>
      <c r="M105" s="6" t="s">
        <v>232</v>
      </c>
      <c r="N105" s="8" t="s">
        <v>35</v>
      </c>
    </row>
    <row r="106" spans="1:14">
      <c r="A106" s="4" t="s">
        <v>277</v>
      </c>
      <c r="B106" s="5">
        <v>46106</v>
      </c>
      <c r="C106" s="6" t="s">
        <v>140</v>
      </c>
      <c r="D106" s="6" t="s">
        <v>141</v>
      </c>
      <c r="E106" s="6" t="s">
        <v>29</v>
      </c>
      <c r="F106" s="6" t="s">
        <v>50</v>
      </c>
      <c r="G106" s="6" t="s">
        <v>39</v>
      </c>
      <c r="H106" s="6" t="s">
        <v>123</v>
      </c>
      <c r="I106" s="6" t="s">
        <v>33</v>
      </c>
      <c r="J106" s="7">
        <v>25310</v>
      </c>
      <c r="K106" s="6" t="s">
        <v>22</v>
      </c>
      <c r="L106" s="6" t="s">
        <v>23</v>
      </c>
      <c r="M106" s="6" t="s">
        <v>232</v>
      </c>
      <c r="N106" s="8" t="s">
        <v>35</v>
      </c>
    </row>
    <row r="107" spans="1:14">
      <c r="A107" s="4" t="s">
        <v>278</v>
      </c>
      <c r="B107" s="5">
        <v>46107</v>
      </c>
      <c r="C107" s="6" t="s">
        <v>99</v>
      </c>
      <c r="D107" s="6" t="s">
        <v>100</v>
      </c>
      <c r="E107" s="6" t="s">
        <v>29</v>
      </c>
      <c r="F107" s="6" t="s">
        <v>30</v>
      </c>
      <c r="G107" s="6" t="s">
        <v>31</v>
      </c>
      <c r="H107" s="6" t="s">
        <v>32</v>
      </c>
      <c r="I107" s="6" t="s">
        <v>21</v>
      </c>
      <c r="J107" s="7">
        <v>98090</v>
      </c>
      <c r="K107" s="6" t="s">
        <v>22</v>
      </c>
      <c r="L107" s="6" t="s">
        <v>23</v>
      </c>
      <c r="M107" s="6" t="s">
        <v>232</v>
      </c>
      <c r="N107" s="8" t="s">
        <v>42</v>
      </c>
    </row>
    <row r="108" spans="1:14">
      <c r="A108" s="4" t="s">
        <v>279</v>
      </c>
      <c r="B108" s="5">
        <v>46107</v>
      </c>
      <c r="C108" s="6" t="s">
        <v>146</v>
      </c>
      <c r="D108" s="6" t="s">
        <v>147</v>
      </c>
      <c r="E108" s="6" t="s">
        <v>29</v>
      </c>
      <c r="F108" s="6" t="s">
        <v>50</v>
      </c>
      <c r="G108" s="6" t="s">
        <v>95</v>
      </c>
      <c r="H108" s="6" t="s">
        <v>96</v>
      </c>
      <c r="I108" s="6" t="s">
        <v>97</v>
      </c>
      <c r="J108" s="7">
        <v>14170</v>
      </c>
      <c r="K108" s="6" t="s">
        <v>22</v>
      </c>
      <c r="L108" s="6" t="s">
        <v>34</v>
      </c>
      <c r="M108" s="6" t="s">
        <v>232</v>
      </c>
      <c r="N108" s="8" t="s">
        <v>42</v>
      </c>
    </row>
    <row r="109" spans="1:14">
      <c r="A109" s="4" t="s">
        <v>280</v>
      </c>
      <c r="B109" s="5">
        <v>46111</v>
      </c>
      <c r="C109" s="6" t="s">
        <v>44</v>
      </c>
      <c r="D109" s="6" t="s">
        <v>45</v>
      </c>
      <c r="E109" s="6" t="s">
        <v>17</v>
      </c>
      <c r="F109" s="6" t="s">
        <v>46</v>
      </c>
      <c r="G109" s="6" t="s">
        <v>55</v>
      </c>
      <c r="H109" s="6" t="s">
        <v>214</v>
      </c>
      <c r="I109" s="6" t="s">
        <v>21</v>
      </c>
      <c r="J109" s="7">
        <v>104960</v>
      </c>
      <c r="K109" s="6" t="s">
        <v>57</v>
      </c>
      <c r="L109" s="6" t="s">
        <v>23</v>
      </c>
      <c r="M109" s="6" t="s">
        <v>232</v>
      </c>
      <c r="N109" s="8" t="s">
        <v>70</v>
      </c>
    </row>
    <row r="110" spans="1:14">
      <c r="A110" s="4" t="s">
        <v>281</v>
      </c>
      <c r="B110" s="5">
        <v>46113</v>
      </c>
      <c r="C110" s="6" t="s">
        <v>223</v>
      </c>
      <c r="D110" s="6" t="s">
        <v>224</v>
      </c>
      <c r="E110" s="6" t="s">
        <v>17</v>
      </c>
      <c r="F110" s="6" t="s">
        <v>46</v>
      </c>
      <c r="G110" s="6" t="s">
        <v>72</v>
      </c>
      <c r="H110" s="6" t="s">
        <v>282</v>
      </c>
      <c r="I110" s="6" t="s">
        <v>33</v>
      </c>
      <c r="J110" s="7">
        <v>11390</v>
      </c>
      <c r="K110" s="6" t="s">
        <v>22</v>
      </c>
      <c r="L110" s="6" t="s">
        <v>23</v>
      </c>
      <c r="M110" s="6" t="s">
        <v>283</v>
      </c>
      <c r="N110" s="8" t="s">
        <v>35</v>
      </c>
    </row>
    <row r="111" spans="1:14">
      <c r="A111" s="4" t="s">
        <v>284</v>
      </c>
      <c r="B111" s="5">
        <v>46115</v>
      </c>
      <c r="C111" s="6" t="s">
        <v>285</v>
      </c>
      <c r="D111" s="6" t="s">
        <v>286</v>
      </c>
      <c r="E111" s="6" t="s">
        <v>29</v>
      </c>
      <c r="F111" s="6" t="s">
        <v>81</v>
      </c>
      <c r="G111" s="6" t="s">
        <v>31</v>
      </c>
      <c r="H111" s="6" t="s">
        <v>32</v>
      </c>
      <c r="I111" s="6" t="s">
        <v>33</v>
      </c>
      <c r="J111" s="7">
        <v>96940</v>
      </c>
      <c r="K111" s="6" t="s">
        <v>22</v>
      </c>
      <c r="L111" s="6" t="s">
        <v>23</v>
      </c>
      <c r="M111" s="6" t="s">
        <v>283</v>
      </c>
      <c r="N111" s="8" t="s">
        <v>51</v>
      </c>
    </row>
    <row r="112" spans="1:14">
      <c r="A112" s="4" t="s">
        <v>287</v>
      </c>
      <c r="B112" s="5">
        <v>46118</v>
      </c>
      <c r="C112" s="6" t="s">
        <v>15</v>
      </c>
      <c r="D112" s="6" t="s">
        <v>16</v>
      </c>
      <c r="E112" s="6" t="s">
        <v>17</v>
      </c>
      <c r="F112" s="6" t="s">
        <v>18</v>
      </c>
      <c r="G112" s="6" t="s">
        <v>72</v>
      </c>
      <c r="H112" s="6" t="s">
        <v>89</v>
      </c>
      <c r="I112" s="6" t="s">
        <v>33</v>
      </c>
      <c r="J112" s="7">
        <v>13890</v>
      </c>
      <c r="K112" s="6" t="s">
        <v>22</v>
      </c>
      <c r="L112" s="6" t="s">
        <v>23</v>
      </c>
      <c r="M112" s="6" t="s">
        <v>283</v>
      </c>
      <c r="N112" s="8" t="s">
        <v>70</v>
      </c>
    </row>
    <row r="113" spans="1:14">
      <c r="A113" s="4" t="s">
        <v>288</v>
      </c>
      <c r="B113" s="5">
        <v>46120</v>
      </c>
      <c r="C113" s="6" t="s">
        <v>37</v>
      </c>
      <c r="D113" s="6" t="s">
        <v>38</v>
      </c>
      <c r="E113" s="6" t="s">
        <v>29</v>
      </c>
      <c r="F113" s="6" t="s">
        <v>18</v>
      </c>
      <c r="G113" s="6" t="s">
        <v>95</v>
      </c>
      <c r="H113" s="6" t="s">
        <v>96</v>
      </c>
      <c r="I113" s="6" t="s">
        <v>5</v>
      </c>
      <c r="J113" s="7">
        <v>19800</v>
      </c>
      <c r="K113" s="6" t="s">
        <v>22</v>
      </c>
      <c r="L113" s="6" t="s">
        <v>23</v>
      </c>
      <c r="M113" s="6" t="s">
        <v>283</v>
      </c>
      <c r="N113" s="8" t="s">
        <v>35</v>
      </c>
    </row>
    <row r="114" spans="1:14">
      <c r="A114" s="4" t="s">
        <v>289</v>
      </c>
      <c r="B114" s="5">
        <v>46120</v>
      </c>
      <c r="C114" s="6" t="s">
        <v>182</v>
      </c>
      <c r="D114" s="6" t="s">
        <v>107</v>
      </c>
      <c r="E114" s="6" t="s">
        <v>66</v>
      </c>
      <c r="F114" s="6" t="s">
        <v>46</v>
      </c>
      <c r="G114" s="6" t="s">
        <v>72</v>
      </c>
      <c r="H114" s="6" t="s">
        <v>73</v>
      </c>
      <c r="I114" s="6" t="s">
        <v>69</v>
      </c>
      <c r="J114" s="7">
        <v>13230</v>
      </c>
      <c r="K114" s="6" t="s">
        <v>22</v>
      </c>
      <c r="L114" s="6" t="s">
        <v>23</v>
      </c>
      <c r="M114" s="6" t="s">
        <v>283</v>
      </c>
      <c r="N114" s="8" t="s">
        <v>35</v>
      </c>
    </row>
    <row r="115" spans="1:14">
      <c r="A115" s="4" t="s">
        <v>290</v>
      </c>
      <c r="B115" s="5">
        <v>46121</v>
      </c>
      <c r="C115" s="6" t="s">
        <v>270</v>
      </c>
      <c r="D115" s="6" t="s">
        <v>271</v>
      </c>
      <c r="E115" s="6" t="s">
        <v>17</v>
      </c>
      <c r="F115" s="6" t="s">
        <v>50</v>
      </c>
      <c r="G115" s="6" t="s">
        <v>31</v>
      </c>
      <c r="H115" s="6" t="s">
        <v>68</v>
      </c>
      <c r="I115" s="6" t="s">
        <v>21</v>
      </c>
      <c r="J115" s="7">
        <v>42770</v>
      </c>
      <c r="K115" s="6" t="s">
        <v>22</v>
      </c>
      <c r="L115" s="6" t="s">
        <v>23</v>
      </c>
      <c r="M115" s="6" t="s">
        <v>283</v>
      </c>
      <c r="N115" s="8" t="s">
        <v>42</v>
      </c>
    </row>
    <row r="116" spans="1:14">
      <c r="A116" s="4" t="s">
        <v>291</v>
      </c>
      <c r="B116" s="5">
        <v>46121</v>
      </c>
      <c r="C116" s="6" t="s">
        <v>188</v>
      </c>
      <c r="D116" s="6" t="s">
        <v>189</v>
      </c>
      <c r="E116" s="6" t="s">
        <v>17</v>
      </c>
      <c r="F116" s="6" t="s">
        <v>50</v>
      </c>
      <c r="G116" s="6" t="s">
        <v>72</v>
      </c>
      <c r="H116" s="6" t="s">
        <v>73</v>
      </c>
      <c r="I116" s="6" t="s">
        <v>33</v>
      </c>
      <c r="J116" s="7">
        <v>10260</v>
      </c>
      <c r="K116" s="6" t="s">
        <v>22</v>
      </c>
      <c r="L116" s="6" t="s">
        <v>23</v>
      </c>
      <c r="M116" s="6" t="s">
        <v>283</v>
      </c>
      <c r="N116" s="8" t="s">
        <v>42</v>
      </c>
    </row>
    <row r="117" spans="1:14">
      <c r="A117" s="4" t="s">
        <v>292</v>
      </c>
      <c r="B117" s="5">
        <v>46124</v>
      </c>
      <c r="C117" s="6" t="s">
        <v>59</v>
      </c>
      <c r="D117" s="6" t="s">
        <v>60</v>
      </c>
      <c r="E117" s="6" t="s">
        <v>17</v>
      </c>
      <c r="F117" s="6" t="s">
        <v>18</v>
      </c>
      <c r="G117" s="6" t="s">
        <v>39</v>
      </c>
      <c r="H117" s="6" t="s">
        <v>123</v>
      </c>
      <c r="I117" s="6" t="s">
        <v>41</v>
      </c>
      <c r="J117" s="7">
        <v>7270</v>
      </c>
      <c r="K117" s="6" t="s">
        <v>22</v>
      </c>
      <c r="L117" s="6" t="s">
        <v>23</v>
      </c>
      <c r="M117" s="6" t="s">
        <v>283</v>
      </c>
      <c r="N117" s="8" t="s">
        <v>25</v>
      </c>
    </row>
    <row r="118" spans="1:14">
      <c r="A118" s="4" t="s">
        <v>293</v>
      </c>
      <c r="B118" s="5">
        <v>46124</v>
      </c>
      <c r="C118" s="6" t="s">
        <v>75</v>
      </c>
      <c r="D118" s="6" t="s">
        <v>76</v>
      </c>
      <c r="E118" s="6" t="s">
        <v>17</v>
      </c>
      <c r="F118" s="6" t="s">
        <v>46</v>
      </c>
      <c r="G118" s="6" t="s">
        <v>31</v>
      </c>
      <c r="H118" s="6" t="s">
        <v>101</v>
      </c>
      <c r="I118" s="6" t="s">
        <v>69</v>
      </c>
      <c r="J118" s="7">
        <v>4990</v>
      </c>
      <c r="K118" s="6" t="s">
        <v>22</v>
      </c>
      <c r="L118" s="6" t="s">
        <v>23</v>
      </c>
      <c r="M118" s="6" t="s">
        <v>283</v>
      </c>
      <c r="N118" s="8" t="s">
        <v>25</v>
      </c>
    </row>
    <row r="119" spans="1:14">
      <c r="A119" s="4" t="s">
        <v>294</v>
      </c>
      <c r="B119" s="5">
        <v>46127</v>
      </c>
      <c r="C119" s="6" t="s">
        <v>64</v>
      </c>
      <c r="D119" s="6" t="s">
        <v>65</v>
      </c>
      <c r="E119" s="6" t="s">
        <v>66</v>
      </c>
      <c r="F119" s="6" t="s">
        <v>67</v>
      </c>
      <c r="G119" s="6" t="s">
        <v>39</v>
      </c>
      <c r="H119" s="6" t="s">
        <v>85</v>
      </c>
      <c r="I119" s="6" t="s">
        <v>41</v>
      </c>
      <c r="J119" s="7">
        <v>22970</v>
      </c>
      <c r="K119" s="6" t="s">
        <v>22</v>
      </c>
      <c r="L119" s="6" t="s">
        <v>23</v>
      </c>
      <c r="M119" s="6" t="s">
        <v>283</v>
      </c>
      <c r="N119" s="8" t="s">
        <v>35</v>
      </c>
    </row>
    <row r="120" spans="1:14">
      <c r="A120" s="4" t="s">
        <v>295</v>
      </c>
      <c r="B120" s="5">
        <v>46128</v>
      </c>
      <c r="C120" s="6" t="s">
        <v>296</v>
      </c>
      <c r="D120" s="6" t="s">
        <v>297</v>
      </c>
      <c r="E120" s="6" t="s">
        <v>17</v>
      </c>
      <c r="F120" s="6" t="s">
        <v>46</v>
      </c>
      <c r="G120" s="6" t="s">
        <v>39</v>
      </c>
      <c r="H120" s="6" t="s">
        <v>40</v>
      </c>
      <c r="I120" s="6" t="s">
        <v>33</v>
      </c>
      <c r="J120" s="7">
        <v>6370</v>
      </c>
      <c r="K120" s="6" t="s">
        <v>22</v>
      </c>
      <c r="L120" s="6" t="s">
        <v>23</v>
      </c>
      <c r="M120" s="6" t="s">
        <v>283</v>
      </c>
      <c r="N120" s="8" t="s">
        <v>42</v>
      </c>
    </row>
    <row r="121" spans="1:14">
      <c r="A121" s="4" t="s">
        <v>298</v>
      </c>
      <c r="B121" s="5">
        <v>46129</v>
      </c>
      <c r="C121" s="6" t="s">
        <v>117</v>
      </c>
      <c r="D121" s="6" t="s">
        <v>118</v>
      </c>
      <c r="E121" s="6" t="s">
        <v>29</v>
      </c>
      <c r="F121" s="6" t="s">
        <v>81</v>
      </c>
      <c r="G121" s="6" t="s">
        <v>39</v>
      </c>
      <c r="H121" s="6" t="s">
        <v>40</v>
      </c>
      <c r="I121" s="6" t="s">
        <v>21</v>
      </c>
      <c r="J121" s="7">
        <v>28720</v>
      </c>
      <c r="K121" s="6" t="s">
        <v>22</v>
      </c>
      <c r="L121" s="6" t="s">
        <v>23</v>
      </c>
      <c r="M121" s="6" t="s">
        <v>283</v>
      </c>
      <c r="N121" s="8" t="s">
        <v>51</v>
      </c>
    </row>
    <row r="122" spans="1:14">
      <c r="A122" s="4" t="s">
        <v>299</v>
      </c>
      <c r="B122" s="5">
        <v>46132</v>
      </c>
      <c r="C122" s="6" t="s">
        <v>296</v>
      </c>
      <c r="D122" s="6" t="s">
        <v>297</v>
      </c>
      <c r="E122" s="6" t="s">
        <v>17</v>
      </c>
      <c r="F122" s="6" t="s">
        <v>46</v>
      </c>
      <c r="G122" s="6" t="s">
        <v>31</v>
      </c>
      <c r="H122" s="6" t="s">
        <v>68</v>
      </c>
      <c r="I122" s="6" t="s">
        <v>33</v>
      </c>
      <c r="J122" s="7">
        <v>54720</v>
      </c>
      <c r="K122" s="6" t="s">
        <v>22</v>
      </c>
      <c r="L122" s="6" t="s">
        <v>23</v>
      </c>
      <c r="M122" s="6" t="s">
        <v>283</v>
      </c>
      <c r="N122" s="8" t="s">
        <v>70</v>
      </c>
    </row>
    <row r="123" spans="1:14">
      <c r="A123" s="4" t="s">
        <v>300</v>
      </c>
      <c r="B123" s="5">
        <v>46133</v>
      </c>
      <c r="C123" s="6" t="s">
        <v>262</v>
      </c>
      <c r="D123" s="6" t="s">
        <v>263</v>
      </c>
      <c r="E123" s="6" t="s">
        <v>66</v>
      </c>
      <c r="F123" s="6" t="s">
        <v>18</v>
      </c>
      <c r="G123" s="6" t="s">
        <v>31</v>
      </c>
      <c r="H123" s="6" t="s">
        <v>32</v>
      </c>
      <c r="I123" s="6" t="s">
        <v>21</v>
      </c>
      <c r="J123" s="7">
        <v>41970</v>
      </c>
      <c r="K123" s="6" t="s">
        <v>22</v>
      </c>
      <c r="L123" s="6" t="s">
        <v>23</v>
      </c>
      <c r="M123" s="6" t="s">
        <v>283</v>
      </c>
      <c r="N123" s="8" t="s">
        <v>104</v>
      </c>
    </row>
    <row r="124" spans="1:14">
      <c r="A124" s="4" t="s">
        <v>301</v>
      </c>
      <c r="B124" s="5">
        <v>46133</v>
      </c>
      <c r="C124" s="6" t="s">
        <v>109</v>
      </c>
      <c r="D124" s="6" t="s">
        <v>110</v>
      </c>
      <c r="E124" s="6" t="s">
        <v>29</v>
      </c>
      <c r="F124" s="6" t="s">
        <v>81</v>
      </c>
      <c r="G124" s="6" t="s">
        <v>31</v>
      </c>
      <c r="H124" s="6" t="s">
        <v>32</v>
      </c>
      <c r="I124" s="6" t="s">
        <v>33</v>
      </c>
      <c r="J124" s="7">
        <v>43560</v>
      </c>
      <c r="K124" s="6" t="s">
        <v>22</v>
      </c>
      <c r="L124" s="6" t="s">
        <v>23</v>
      </c>
      <c r="M124" s="6" t="s">
        <v>283</v>
      </c>
      <c r="N124" s="8" t="s">
        <v>104</v>
      </c>
    </row>
    <row r="125" spans="1:14">
      <c r="A125" s="4" t="s">
        <v>302</v>
      </c>
      <c r="B125" s="5">
        <v>46134</v>
      </c>
      <c r="C125" s="6" t="s">
        <v>175</v>
      </c>
      <c r="D125" s="6" t="s">
        <v>176</v>
      </c>
      <c r="E125" s="6" t="s">
        <v>29</v>
      </c>
      <c r="F125" s="6" t="s">
        <v>30</v>
      </c>
      <c r="G125" s="6" t="s">
        <v>31</v>
      </c>
      <c r="H125" s="6" t="s">
        <v>101</v>
      </c>
      <c r="I125" s="6" t="s">
        <v>21</v>
      </c>
      <c r="J125" s="7">
        <v>85690</v>
      </c>
      <c r="K125" s="6" t="s">
        <v>22</v>
      </c>
      <c r="L125" s="6" t="s">
        <v>23</v>
      </c>
      <c r="M125" s="6" t="s">
        <v>283</v>
      </c>
      <c r="N125" s="8" t="s">
        <v>35</v>
      </c>
    </row>
    <row r="126" spans="1:14">
      <c r="A126" s="4" t="s">
        <v>303</v>
      </c>
      <c r="B126" s="5">
        <v>46134</v>
      </c>
      <c r="C126" s="6" t="s">
        <v>109</v>
      </c>
      <c r="D126" s="6" t="s">
        <v>110</v>
      </c>
      <c r="E126" s="6" t="s">
        <v>29</v>
      </c>
      <c r="F126" s="6" t="s">
        <v>81</v>
      </c>
      <c r="G126" s="6" t="s">
        <v>95</v>
      </c>
      <c r="H126" s="6" t="s">
        <v>96</v>
      </c>
      <c r="I126" s="6" t="s">
        <v>97</v>
      </c>
      <c r="J126" s="7">
        <v>21260</v>
      </c>
      <c r="K126" s="6" t="s">
        <v>22</v>
      </c>
      <c r="L126" s="6" t="s">
        <v>23</v>
      </c>
      <c r="M126" s="6" t="s">
        <v>283</v>
      </c>
      <c r="N126" s="8" t="s">
        <v>35</v>
      </c>
    </row>
    <row r="127" spans="1:14">
      <c r="A127" s="4" t="s">
        <v>304</v>
      </c>
      <c r="B127" s="5">
        <v>46134</v>
      </c>
      <c r="C127" s="6" t="s">
        <v>285</v>
      </c>
      <c r="D127" s="6" t="s">
        <v>286</v>
      </c>
      <c r="E127" s="6" t="s">
        <v>29</v>
      </c>
      <c r="F127" s="6" t="s">
        <v>81</v>
      </c>
      <c r="G127" s="6" t="s">
        <v>55</v>
      </c>
      <c r="H127" s="6" t="s">
        <v>214</v>
      </c>
      <c r="I127" s="6" t="s">
        <v>33</v>
      </c>
      <c r="J127" s="7">
        <v>14250</v>
      </c>
      <c r="K127" s="6" t="s">
        <v>57</v>
      </c>
      <c r="L127" s="6" t="s">
        <v>62</v>
      </c>
      <c r="M127" s="6" t="s">
        <v>283</v>
      </c>
      <c r="N127" s="8" t="s">
        <v>35</v>
      </c>
    </row>
    <row r="128" spans="1:14">
      <c r="A128" s="4" t="s">
        <v>305</v>
      </c>
      <c r="B128" s="5">
        <v>46135</v>
      </c>
      <c r="C128" s="6" t="s">
        <v>15</v>
      </c>
      <c r="D128" s="6" t="s">
        <v>16</v>
      </c>
      <c r="E128" s="6" t="s">
        <v>17</v>
      </c>
      <c r="F128" s="6" t="s">
        <v>18</v>
      </c>
      <c r="G128" s="6" t="s">
        <v>95</v>
      </c>
      <c r="H128" s="6" t="s">
        <v>96</v>
      </c>
      <c r="I128" s="6" t="s">
        <v>5</v>
      </c>
      <c r="J128" s="7">
        <v>19680</v>
      </c>
      <c r="K128" s="6" t="s">
        <v>22</v>
      </c>
      <c r="L128" s="6" t="s">
        <v>23</v>
      </c>
      <c r="M128" s="6" t="s">
        <v>283</v>
      </c>
      <c r="N128" s="8" t="s">
        <v>42</v>
      </c>
    </row>
    <row r="129" spans="1:14">
      <c r="A129" s="4" t="s">
        <v>306</v>
      </c>
      <c r="B129" s="5">
        <v>46135</v>
      </c>
      <c r="C129" s="6" t="s">
        <v>239</v>
      </c>
      <c r="D129" s="6" t="s">
        <v>240</v>
      </c>
      <c r="E129" s="6" t="s">
        <v>29</v>
      </c>
      <c r="F129" s="6" t="s">
        <v>81</v>
      </c>
      <c r="G129" s="6" t="s">
        <v>95</v>
      </c>
      <c r="H129" s="6" t="s">
        <v>96</v>
      </c>
      <c r="I129" s="6" t="s">
        <v>5</v>
      </c>
      <c r="J129" s="7">
        <v>27270</v>
      </c>
      <c r="K129" s="6" t="s">
        <v>22</v>
      </c>
      <c r="L129" s="6" t="s">
        <v>23</v>
      </c>
      <c r="M129" s="6" t="s">
        <v>283</v>
      </c>
      <c r="N129" s="8" t="s">
        <v>42</v>
      </c>
    </row>
    <row r="130" spans="1:14">
      <c r="A130" s="4" t="s">
        <v>307</v>
      </c>
      <c r="B130" s="5">
        <v>46136</v>
      </c>
      <c r="C130" s="6" t="s">
        <v>235</v>
      </c>
      <c r="D130" s="6" t="s">
        <v>236</v>
      </c>
      <c r="E130" s="6" t="s">
        <v>29</v>
      </c>
      <c r="F130" s="6" t="s">
        <v>115</v>
      </c>
      <c r="G130" s="6" t="s">
        <v>55</v>
      </c>
      <c r="H130" s="6" t="s">
        <v>264</v>
      </c>
      <c r="I130" s="6" t="s">
        <v>41</v>
      </c>
      <c r="J130" s="7">
        <v>48820</v>
      </c>
      <c r="K130" s="6" t="s">
        <v>57</v>
      </c>
      <c r="L130" s="6" t="s">
        <v>23</v>
      </c>
      <c r="M130" s="6" t="s">
        <v>283</v>
      </c>
      <c r="N130" s="8" t="s">
        <v>51</v>
      </c>
    </row>
    <row r="131" spans="1:14">
      <c r="A131" s="4" t="s">
        <v>308</v>
      </c>
      <c r="B131" s="5">
        <v>46137</v>
      </c>
      <c r="C131" s="6" t="s">
        <v>235</v>
      </c>
      <c r="D131" s="6" t="s">
        <v>236</v>
      </c>
      <c r="E131" s="6" t="s">
        <v>29</v>
      </c>
      <c r="F131" s="6" t="s">
        <v>115</v>
      </c>
      <c r="G131" s="6" t="s">
        <v>55</v>
      </c>
      <c r="H131" s="6" t="s">
        <v>264</v>
      </c>
      <c r="I131" s="6" t="s">
        <v>97</v>
      </c>
      <c r="J131" s="7">
        <v>114360</v>
      </c>
      <c r="K131" s="6" t="s">
        <v>57</v>
      </c>
      <c r="L131" s="6" t="s">
        <v>34</v>
      </c>
      <c r="M131" s="6" t="s">
        <v>283</v>
      </c>
      <c r="N131" s="8" t="s">
        <v>90</v>
      </c>
    </row>
    <row r="132" spans="1:14">
      <c r="A132" s="4" t="s">
        <v>309</v>
      </c>
      <c r="B132" s="5">
        <v>46137</v>
      </c>
      <c r="C132" s="6" t="s">
        <v>160</v>
      </c>
      <c r="D132" s="6" t="s">
        <v>161</v>
      </c>
      <c r="E132" s="6" t="s">
        <v>66</v>
      </c>
      <c r="F132" s="6" t="s">
        <v>18</v>
      </c>
      <c r="G132" s="6" t="s">
        <v>39</v>
      </c>
      <c r="H132" s="6" t="s">
        <v>61</v>
      </c>
      <c r="I132" s="6" t="s">
        <v>41</v>
      </c>
      <c r="J132" s="7">
        <v>7250</v>
      </c>
      <c r="K132" s="6" t="s">
        <v>22</v>
      </c>
      <c r="L132" s="6" t="s">
        <v>23</v>
      </c>
      <c r="M132" s="6" t="s">
        <v>283</v>
      </c>
      <c r="N132" s="8" t="s">
        <v>90</v>
      </c>
    </row>
    <row r="133" spans="1:14">
      <c r="A133" s="4" t="s">
        <v>310</v>
      </c>
      <c r="B133" s="5">
        <v>46138</v>
      </c>
      <c r="C133" s="6" t="s">
        <v>239</v>
      </c>
      <c r="D133" s="6" t="s">
        <v>240</v>
      </c>
      <c r="E133" s="6" t="s">
        <v>29</v>
      </c>
      <c r="F133" s="6" t="s">
        <v>81</v>
      </c>
      <c r="G133" s="6" t="s">
        <v>95</v>
      </c>
      <c r="H133" s="6" t="s">
        <v>96</v>
      </c>
      <c r="I133" s="6" t="s">
        <v>97</v>
      </c>
      <c r="J133" s="7">
        <v>16830</v>
      </c>
      <c r="K133" s="6" t="s">
        <v>22</v>
      </c>
      <c r="L133" s="6" t="s">
        <v>23</v>
      </c>
      <c r="M133" s="6" t="s">
        <v>283</v>
      </c>
      <c r="N133" s="8" t="s">
        <v>25</v>
      </c>
    </row>
    <row r="134" spans="1:14">
      <c r="A134" s="4" t="s">
        <v>311</v>
      </c>
      <c r="B134" s="5">
        <v>46139</v>
      </c>
      <c r="C134" s="6" t="s">
        <v>198</v>
      </c>
      <c r="D134" s="6" t="s">
        <v>88</v>
      </c>
      <c r="E134" s="6" t="s">
        <v>66</v>
      </c>
      <c r="F134" s="6" t="s">
        <v>81</v>
      </c>
      <c r="G134" s="6" t="s">
        <v>55</v>
      </c>
      <c r="H134" s="6" t="s">
        <v>158</v>
      </c>
      <c r="I134" s="6" t="s">
        <v>21</v>
      </c>
      <c r="J134" s="7">
        <v>45400</v>
      </c>
      <c r="K134" s="6" t="s">
        <v>57</v>
      </c>
      <c r="L134" s="6" t="s">
        <v>23</v>
      </c>
      <c r="M134" s="6" t="s">
        <v>283</v>
      </c>
      <c r="N134" s="8" t="s">
        <v>70</v>
      </c>
    </row>
    <row r="135" spans="1:14">
      <c r="A135" s="4" t="s">
        <v>312</v>
      </c>
      <c r="B135" s="5">
        <v>46141</v>
      </c>
      <c r="C135" s="6" t="s">
        <v>93</v>
      </c>
      <c r="D135" s="6" t="s">
        <v>94</v>
      </c>
      <c r="E135" s="6" t="s">
        <v>17</v>
      </c>
      <c r="F135" s="6" t="s">
        <v>67</v>
      </c>
      <c r="G135" s="6" t="s">
        <v>19</v>
      </c>
      <c r="H135" s="6" t="s">
        <v>20</v>
      </c>
      <c r="I135" s="6" t="s">
        <v>69</v>
      </c>
      <c r="J135" s="7">
        <v>39500</v>
      </c>
      <c r="K135" s="6" t="s">
        <v>22</v>
      </c>
      <c r="L135" s="6" t="s">
        <v>23</v>
      </c>
      <c r="M135" s="6" t="s">
        <v>283</v>
      </c>
      <c r="N135" s="8" t="s">
        <v>35</v>
      </c>
    </row>
    <row r="136" spans="1:14">
      <c r="A136" s="4" t="s">
        <v>313</v>
      </c>
      <c r="B136" s="5">
        <v>46141</v>
      </c>
      <c r="C136" s="6" t="s">
        <v>206</v>
      </c>
      <c r="D136" s="6" t="s">
        <v>207</v>
      </c>
      <c r="E136" s="6" t="s">
        <v>66</v>
      </c>
      <c r="F136" s="6" t="s">
        <v>50</v>
      </c>
      <c r="G136" s="6" t="s">
        <v>19</v>
      </c>
      <c r="H136" s="6" t="s">
        <v>20</v>
      </c>
      <c r="I136" s="6" t="s">
        <v>21</v>
      </c>
      <c r="J136" s="7">
        <v>41500</v>
      </c>
      <c r="K136" s="6" t="s">
        <v>22</v>
      </c>
      <c r="L136" s="6" t="s">
        <v>23</v>
      </c>
      <c r="M136" s="6" t="s">
        <v>283</v>
      </c>
      <c r="N136" s="8" t="s">
        <v>35</v>
      </c>
    </row>
    <row r="137" spans="1:14">
      <c r="A137" s="4" t="s">
        <v>314</v>
      </c>
      <c r="B137" s="5">
        <v>46142</v>
      </c>
      <c r="C137" s="6" t="s">
        <v>27</v>
      </c>
      <c r="D137" s="6" t="s">
        <v>28</v>
      </c>
      <c r="E137" s="6" t="s">
        <v>29</v>
      </c>
      <c r="F137" s="6" t="s">
        <v>30</v>
      </c>
      <c r="G137" s="6" t="s">
        <v>19</v>
      </c>
      <c r="H137" s="6" t="s">
        <v>111</v>
      </c>
      <c r="I137" s="6" t="s">
        <v>21</v>
      </c>
      <c r="J137" s="7">
        <v>17500</v>
      </c>
      <c r="K137" s="6" t="s">
        <v>22</v>
      </c>
      <c r="L137" s="6" t="s">
        <v>23</v>
      </c>
      <c r="M137" s="6" t="s">
        <v>283</v>
      </c>
      <c r="N137" s="8" t="s">
        <v>42</v>
      </c>
    </row>
    <row r="138" spans="1:14">
      <c r="A138" s="4" t="s">
        <v>315</v>
      </c>
      <c r="B138" s="5">
        <v>46143</v>
      </c>
      <c r="C138" s="6" t="s">
        <v>251</v>
      </c>
      <c r="D138" s="6" t="s">
        <v>252</v>
      </c>
      <c r="E138" s="6" t="s">
        <v>29</v>
      </c>
      <c r="F138" s="6" t="s">
        <v>50</v>
      </c>
      <c r="G138" s="6" t="s">
        <v>55</v>
      </c>
      <c r="H138" s="6" t="s">
        <v>214</v>
      </c>
      <c r="I138" s="6" t="s">
        <v>33</v>
      </c>
      <c r="J138" s="7">
        <v>27170</v>
      </c>
      <c r="K138" s="6" t="s">
        <v>57</v>
      </c>
      <c r="L138" s="6" t="s">
        <v>23</v>
      </c>
      <c r="M138" s="6" t="s">
        <v>316</v>
      </c>
      <c r="N138" s="8" t="s">
        <v>51</v>
      </c>
    </row>
    <row r="139" spans="1:14">
      <c r="A139" s="4" t="s">
        <v>317</v>
      </c>
      <c r="B139" s="5">
        <v>46143</v>
      </c>
      <c r="C139" s="6" t="s">
        <v>223</v>
      </c>
      <c r="D139" s="6" t="s">
        <v>224</v>
      </c>
      <c r="E139" s="6" t="s">
        <v>17</v>
      </c>
      <c r="F139" s="6" t="s">
        <v>46</v>
      </c>
      <c r="G139" s="6" t="s">
        <v>72</v>
      </c>
      <c r="H139" s="6" t="s">
        <v>180</v>
      </c>
      <c r="I139" s="6" t="s">
        <v>33</v>
      </c>
      <c r="J139" s="7">
        <v>5930</v>
      </c>
      <c r="K139" s="6" t="s">
        <v>22</v>
      </c>
      <c r="L139" s="6" t="s">
        <v>23</v>
      </c>
      <c r="M139" s="6" t="s">
        <v>316</v>
      </c>
      <c r="N139" s="8" t="s">
        <v>51</v>
      </c>
    </row>
    <row r="140" spans="1:14">
      <c r="A140" s="4" t="s">
        <v>318</v>
      </c>
      <c r="B140" s="5">
        <v>46146</v>
      </c>
      <c r="C140" s="6" t="s">
        <v>15</v>
      </c>
      <c r="D140" s="6" t="s">
        <v>16</v>
      </c>
      <c r="E140" s="6" t="s">
        <v>17</v>
      </c>
      <c r="F140" s="6" t="s">
        <v>18</v>
      </c>
      <c r="G140" s="6" t="s">
        <v>39</v>
      </c>
      <c r="H140" s="6" t="s">
        <v>103</v>
      </c>
      <c r="I140" s="6" t="s">
        <v>41</v>
      </c>
      <c r="J140" s="7">
        <v>7120</v>
      </c>
      <c r="K140" s="6" t="s">
        <v>22</v>
      </c>
      <c r="L140" s="6" t="s">
        <v>23</v>
      </c>
      <c r="M140" s="6" t="s">
        <v>316</v>
      </c>
      <c r="N140" s="8" t="s">
        <v>70</v>
      </c>
    </row>
    <row r="141" spans="1:14">
      <c r="A141" s="4" t="s">
        <v>319</v>
      </c>
      <c r="B141" s="5">
        <v>46146</v>
      </c>
      <c r="C141" s="6" t="s">
        <v>153</v>
      </c>
      <c r="D141" s="6" t="s">
        <v>154</v>
      </c>
      <c r="E141" s="6" t="s">
        <v>29</v>
      </c>
      <c r="F141" s="6" t="s">
        <v>18</v>
      </c>
      <c r="G141" s="6" t="s">
        <v>55</v>
      </c>
      <c r="H141" s="6" t="s">
        <v>264</v>
      </c>
      <c r="I141" s="6" t="s">
        <v>33</v>
      </c>
      <c r="J141" s="7">
        <v>56160</v>
      </c>
      <c r="K141" s="6" t="s">
        <v>57</v>
      </c>
      <c r="L141" s="6" t="s">
        <v>23</v>
      </c>
      <c r="M141" s="6" t="s">
        <v>316</v>
      </c>
      <c r="N141" s="8" t="s">
        <v>70</v>
      </c>
    </row>
    <row r="142" spans="1:14">
      <c r="A142" s="4" t="s">
        <v>320</v>
      </c>
      <c r="B142" s="5">
        <v>46146</v>
      </c>
      <c r="C142" s="6" t="s">
        <v>137</v>
      </c>
      <c r="D142" s="6" t="s">
        <v>138</v>
      </c>
      <c r="E142" s="6" t="s">
        <v>17</v>
      </c>
      <c r="F142" s="6" t="s">
        <v>81</v>
      </c>
      <c r="G142" s="6" t="s">
        <v>72</v>
      </c>
      <c r="H142" s="6" t="s">
        <v>282</v>
      </c>
      <c r="I142" s="6" t="s">
        <v>21</v>
      </c>
      <c r="J142" s="7">
        <v>1040</v>
      </c>
      <c r="K142" s="6" t="s">
        <v>22</v>
      </c>
      <c r="L142" s="6" t="s">
        <v>23</v>
      </c>
      <c r="M142" s="6" t="s">
        <v>316</v>
      </c>
      <c r="N142" s="8" t="s">
        <v>70</v>
      </c>
    </row>
    <row r="143" spans="1:14">
      <c r="A143" s="4" t="s">
        <v>321</v>
      </c>
      <c r="B143" s="5">
        <v>46146</v>
      </c>
      <c r="C143" s="6" t="s">
        <v>137</v>
      </c>
      <c r="D143" s="6" t="s">
        <v>138</v>
      </c>
      <c r="E143" s="6" t="s">
        <v>17</v>
      </c>
      <c r="F143" s="6" t="s">
        <v>81</v>
      </c>
      <c r="G143" s="6" t="s">
        <v>55</v>
      </c>
      <c r="H143" s="6" t="s">
        <v>214</v>
      </c>
      <c r="I143" s="6" t="s">
        <v>21</v>
      </c>
      <c r="J143" s="7">
        <v>91680</v>
      </c>
      <c r="K143" s="6" t="s">
        <v>57</v>
      </c>
      <c r="L143" s="6" t="s">
        <v>23</v>
      </c>
      <c r="M143" s="6" t="s">
        <v>316</v>
      </c>
      <c r="N143" s="8" t="s">
        <v>70</v>
      </c>
    </row>
    <row r="144" spans="1:14">
      <c r="A144" s="4" t="s">
        <v>322</v>
      </c>
      <c r="B144" s="5">
        <v>46147</v>
      </c>
      <c r="C144" s="6" t="s">
        <v>133</v>
      </c>
      <c r="D144" s="6" t="s">
        <v>134</v>
      </c>
      <c r="E144" s="6" t="s">
        <v>17</v>
      </c>
      <c r="F144" s="6" t="s">
        <v>115</v>
      </c>
      <c r="G144" s="6" t="s">
        <v>72</v>
      </c>
      <c r="H144" s="6" t="s">
        <v>73</v>
      </c>
      <c r="I144" s="6" t="s">
        <v>69</v>
      </c>
      <c r="J144" s="7">
        <v>1920</v>
      </c>
      <c r="K144" s="6" t="s">
        <v>22</v>
      </c>
      <c r="L144" s="6" t="s">
        <v>23</v>
      </c>
      <c r="M144" s="6" t="s">
        <v>316</v>
      </c>
      <c r="N144" s="8" t="s">
        <v>104</v>
      </c>
    </row>
    <row r="145" spans="1:14">
      <c r="A145" s="4" t="s">
        <v>323</v>
      </c>
      <c r="B145" s="5">
        <v>46148</v>
      </c>
      <c r="C145" s="6" t="s">
        <v>201</v>
      </c>
      <c r="D145" s="6" t="s">
        <v>202</v>
      </c>
      <c r="E145" s="6" t="s">
        <v>17</v>
      </c>
      <c r="F145" s="6" t="s">
        <v>30</v>
      </c>
      <c r="G145" s="6" t="s">
        <v>55</v>
      </c>
      <c r="H145" s="6" t="s">
        <v>214</v>
      </c>
      <c r="I145" s="6" t="s">
        <v>33</v>
      </c>
      <c r="J145" s="7">
        <v>36500</v>
      </c>
      <c r="K145" s="6" t="s">
        <v>57</v>
      </c>
      <c r="L145" s="6" t="s">
        <v>23</v>
      </c>
      <c r="M145" s="6" t="s">
        <v>316</v>
      </c>
      <c r="N145" s="8" t="s">
        <v>35</v>
      </c>
    </row>
    <row r="146" spans="1:14">
      <c r="A146" s="4" t="s">
        <v>324</v>
      </c>
      <c r="B146" s="5">
        <v>46149</v>
      </c>
      <c r="C146" s="6" t="s">
        <v>165</v>
      </c>
      <c r="D146" s="6" t="s">
        <v>166</v>
      </c>
      <c r="E146" s="6" t="s">
        <v>29</v>
      </c>
      <c r="F146" s="6" t="s">
        <v>115</v>
      </c>
      <c r="G146" s="6" t="s">
        <v>95</v>
      </c>
      <c r="H146" s="6" t="s">
        <v>96</v>
      </c>
      <c r="I146" s="6" t="s">
        <v>5</v>
      </c>
      <c r="J146" s="7">
        <v>7940</v>
      </c>
      <c r="K146" s="6" t="s">
        <v>22</v>
      </c>
      <c r="L146" s="6" t="s">
        <v>23</v>
      </c>
      <c r="M146" s="6" t="s">
        <v>316</v>
      </c>
      <c r="N146" s="8" t="s">
        <v>42</v>
      </c>
    </row>
    <row r="147" spans="1:14">
      <c r="A147" s="4" t="s">
        <v>325</v>
      </c>
      <c r="B147" s="5">
        <v>46151</v>
      </c>
      <c r="C147" s="6" t="s">
        <v>87</v>
      </c>
      <c r="D147" s="6" t="s">
        <v>88</v>
      </c>
      <c r="E147" s="6" t="s">
        <v>29</v>
      </c>
      <c r="F147" s="6" t="s">
        <v>81</v>
      </c>
      <c r="G147" s="6" t="s">
        <v>55</v>
      </c>
      <c r="H147" s="6" t="s">
        <v>264</v>
      </c>
      <c r="I147" s="6" t="s">
        <v>97</v>
      </c>
      <c r="J147" s="7">
        <v>24110</v>
      </c>
      <c r="K147" s="6" t="s">
        <v>57</v>
      </c>
      <c r="L147" s="6" t="s">
        <v>23</v>
      </c>
      <c r="M147" s="6" t="s">
        <v>316</v>
      </c>
      <c r="N147" s="8" t="s">
        <v>90</v>
      </c>
    </row>
    <row r="148" spans="1:14">
      <c r="A148" s="4" t="s">
        <v>326</v>
      </c>
      <c r="B148" s="5">
        <v>46151</v>
      </c>
      <c r="C148" s="6" t="s">
        <v>129</v>
      </c>
      <c r="D148" s="6" t="s">
        <v>130</v>
      </c>
      <c r="E148" s="6" t="s">
        <v>29</v>
      </c>
      <c r="F148" s="6" t="s">
        <v>46</v>
      </c>
      <c r="G148" s="6" t="s">
        <v>72</v>
      </c>
      <c r="H148" s="6" t="s">
        <v>89</v>
      </c>
      <c r="I148" s="6" t="s">
        <v>33</v>
      </c>
      <c r="J148" s="7">
        <v>8450</v>
      </c>
      <c r="K148" s="6" t="s">
        <v>22</v>
      </c>
      <c r="L148" s="6" t="s">
        <v>23</v>
      </c>
      <c r="M148" s="6" t="s">
        <v>316</v>
      </c>
      <c r="N148" s="8" t="s">
        <v>90</v>
      </c>
    </row>
    <row r="149" spans="1:14">
      <c r="A149" s="4" t="s">
        <v>327</v>
      </c>
      <c r="B149" s="5">
        <v>46152</v>
      </c>
      <c r="C149" s="6" t="s">
        <v>117</v>
      </c>
      <c r="D149" s="6" t="s">
        <v>118</v>
      </c>
      <c r="E149" s="6" t="s">
        <v>29</v>
      </c>
      <c r="F149" s="6" t="s">
        <v>81</v>
      </c>
      <c r="G149" s="6" t="s">
        <v>31</v>
      </c>
      <c r="H149" s="6" t="s">
        <v>144</v>
      </c>
      <c r="I149" s="6" t="s">
        <v>21</v>
      </c>
      <c r="J149" s="7">
        <v>40670</v>
      </c>
      <c r="K149" s="6" t="s">
        <v>22</v>
      </c>
      <c r="L149" s="6" t="s">
        <v>23</v>
      </c>
      <c r="M149" s="6" t="s">
        <v>316</v>
      </c>
      <c r="N149" s="8" t="s">
        <v>25</v>
      </c>
    </row>
    <row r="150" spans="1:14">
      <c r="A150" s="4" t="s">
        <v>328</v>
      </c>
      <c r="B150" s="5">
        <v>46153</v>
      </c>
      <c r="C150" s="6" t="s">
        <v>156</v>
      </c>
      <c r="D150" s="6" t="s">
        <v>157</v>
      </c>
      <c r="E150" s="6" t="s">
        <v>17</v>
      </c>
      <c r="F150" s="6" t="s">
        <v>115</v>
      </c>
      <c r="G150" s="6" t="s">
        <v>55</v>
      </c>
      <c r="H150" s="6" t="s">
        <v>56</v>
      </c>
      <c r="I150" s="6" t="s">
        <v>21</v>
      </c>
      <c r="J150" s="7">
        <v>103250</v>
      </c>
      <c r="K150" s="6" t="s">
        <v>57</v>
      </c>
      <c r="L150" s="6" t="s">
        <v>23</v>
      </c>
      <c r="M150" s="6" t="s">
        <v>316</v>
      </c>
      <c r="N150" s="8" t="s">
        <v>70</v>
      </c>
    </row>
    <row r="151" spans="1:14">
      <c r="A151" s="4" t="s">
        <v>329</v>
      </c>
      <c r="B151" s="5">
        <v>46154</v>
      </c>
      <c r="C151" s="6" t="s">
        <v>223</v>
      </c>
      <c r="D151" s="6" t="s">
        <v>224</v>
      </c>
      <c r="E151" s="6" t="s">
        <v>17</v>
      </c>
      <c r="F151" s="6" t="s">
        <v>46</v>
      </c>
      <c r="G151" s="6" t="s">
        <v>31</v>
      </c>
      <c r="H151" s="6" t="s">
        <v>144</v>
      </c>
      <c r="I151" s="6" t="s">
        <v>69</v>
      </c>
      <c r="J151" s="7">
        <v>61120</v>
      </c>
      <c r="K151" s="6" t="s">
        <v>22</v>
      </c>
      <c r="L151" s="6" t="s">
        <v>23</v>
      </c>
      <c r="M151" s="6" t="s">
        <v>316</v>
      </c>
      <c r="N151" s="8" t="s">
        <v>104</v>
      </c>
    </row>
    <row r="152" spans="1:14">
      <c r="A152" s="4" t="s">
        <v>330</v>
      </c>
      <c r="B152" s="5">
        <v>46158</v>
      </c>
      <c r="C152" s="6" t="s">
        <v>331</v>
      </c>
      <c r="D152" s="6" t="s">
        <v>127</v>
      </c>
      <c r="E152" s="6" t="s">
        <v>29</v>
      </c>
      <c r="F152" s="6" t="s">
        <v>81</v>
      </c>
      <c r="G152" s="6" t="s">
        <v>19</v>
      </c>
      <c r="H152" s="6" t="s">
        <v>111</v>
      </c>
      <c r="I152" s="6" t="s">
        <v>69</v>
      </c>
      <c r="J152" s="7">
        <v>31500</v>
      </c>
      <c r="K152" s="6" t="s">
        <v>22</v>
      </c>
      <c r="L152" s="6" t="s">
        <v>34</v>
      </c>
      <c r="M152" s="6" t="s">
        <v>316</v>
      </c>
      <c r="N152" s="8" t="s">
        <v>90</v>
      </c>
    </row>
    <row r="153" spans="1:14">
      <c r="A153" s="4" t="s">
        <v>332</v>
      </c>
      <c r="B153" s="5">
        <v>46158</v>
      </c>
      <c r="C153" s="6" t="s">
        <v>235</v>
      </c>
      <c r="D153" s="6" t="s">
        <v>236</v>
      </c>
      <c r="E153" s="6" t="s">
        <v>29</v>
      </c>
      <c r="F153" s="6" t="s">
        <v>115</v>
      </c>
      <c r="G153" s="6" t="s">
        <v>95</v>
      </c>
      <c r="H153" s="6" t="s">
        <v>96</v>
      </c>
      <c r="I153" s="6" t="s">
        <v>5</v>
      </c>
      <c r="J153" s="7">
        <v>24920</v>
      </c>
      <c r="K153" s="6" t="s">
        <v>22</v>
      </c>
      <c r="L153" s="6" t="s">
        <v>23</v>
      </c>
      <c r="M153" s="6" t="s">
        <v>316</v>
      </c>
      <c r="N153" s="8" t="s">
        <v>90</v>
      </c>
    </row>
    <row r="154" spans="1:14">
      <c r="A154" s="4" t="s">
        <v>333</v>
      </c>
      <c r="B154" s="5">
        <v>46162</v>
      </c>
      <c r="C154" s="6" t="s">
        <v>93</v>
      </c>
      <c r="D154" s="6" t="s">
        <v>94</v>
      </c>
      <c r="E154" s="6" t="s">
        <v>17</v>
      </c>
      <c r="F154" s="6" t="s">
        <v>67</v>
      </c>
      <c r="G154" s="6" t="s">
        <v>72</v>
      </c>
      <c r="H154" s="6" t="s">
        <v>73</v>
      </c>
      <c r="I154" s="6" t="s">
        <v>69</v>
      </c>
      <c r="J154" s="7">
        <v>5340</v>
      </c>
      <c r="K154" s="6" t="s">
        <v>22</v>
      </c>
      <c r="L154" s="6" t="s">
        <v>23</v>
      </c>
      <c r="M154" s="6" t="s">
        <v>316</v>
      </c>
      <c r="N154" s="8" t="s">
        <v>35</v>
      </c>
    </row>
    <row r="155" spans="1:14">
      <c r="A155" s="4" t="s">
        <v>334</v>
      </c>
      <c r="B155" s="5">
        <v>46162</v>
      </c>
      <c r="C155" s="6" t="s">
        <v>226</v>
      </c>
      <c r="D155" s="6" t="s">
        <v>227</v>
      </c>
      <c r="E155" s="6" t="s">
        <v>29</v>
      </c>
      <c r="F155" s="6" t="s">
        <v>81</v>
      </c>
      <c r="G155" s="6" t="s">
        <v>95</v>
      </c>
      <c r="H155" s="6" t="s">
        <v>96</v>
      </c>
      <c r="I155" s="6" t="s">
        <v>97</v>
      </c>
      <c r="J155" s="7">
        <v>5970</v>
      </c>
      <c r="K155" s="6" t="s">
        <v>22</v>
      </c>
      <c r="L155" s="6" t="s">
        <v>23</v>
      </c>
      <c r="M155" s="6" t="s">
        <v>316</v>
      </c>
      <c r="N155" s="8" t="s">
        <v>35</v>
      </c>
    </row>
    <row r="156" spans="1:14">
      <c r="A156" s="4" t="s">
        <v>335</v>
      </c>
      <c r="B156" s="5">
        <v>46164</v>
      </c>
      <c r="C156" s="6" t="s">
        <v>126</v>
      </c>
      <c r="D156" s="6" t="s">
        <v>127</v>
      </c>
      <c r="E156" s="6" t="s">
        <v>66</v>
      </c>
      <c r="F156" s="6" t="s">
        <v>50</v>
      </c>
      <c r="G156" s="6" t="s">
        <v>72</v>
      </c>
      <c r="H156" s="6" t="s">
        <v>180</v>
      </c>
      <c r="I156" s="6" t="s">
        <v>69</v>
      </c>
      <c r="J156" s="7">
        <v>9070</v>
      </c>
      <c r="K156" s="6" t="s">
        <v>22</v>
      </c>
      <c r="L156" s="6" t="s">
        <v>62</v>
      </c>
      <c r="M156" s="6" t="s">
        <v>316</v>
      </c>
      <c r="N156" s="8" t="s">
        <v>51</v>
      </c>
    </row>
    <row r="157" spans="1:14">
      <c r="A157" s="4" t="s">
        <v>336</v>
      </c>
      <c r="B157" s="5">
        <v>46165</v>
      </c>
      <c r="C157" s="6" t="s">
        <v>230</v>
      </c>
      <c r="D157" s="6" t="s">
        <v>231</v>
      </c>
      <c r="E157" s="6" t="s">
        <v>66</v>
      </c>
      <c r="F157" s="6" t="s">
        <v>186</v>
      </c>
      <c r="G157" s="6" t="s">
        <v>31</v>
      </c>
      <c r="H157" s="6" t="s">
        <v>101</v>
      </c>
      <c r="I157" s="6" t="s">
        <v>33</v>
      </c>
      <c r="J157" s="7">
        <v>57420</v>
      </c>
      <c r="K157" s="6" t="s">
        <v>22</v>
      </c>
      <c r="L157" s="6" t="s">
        <v>23</v>
      </c>
      <c r="M157" s="6" t="s">
        <v>316</v>
      </c>
      <c r="N157" s="8" t="s">
        <v>90</v>
      </c>
    </row>
    <row r="158" spans="1:14">
      <c r="A158" s="4" t="s">
        <v>337</v>
      </c>
      <c r="B158" s="5">
        <v>46168</v>
      </c>
      <c r="C158" s="6" t="s">
        <v>37</v>
      </c>
      <c r="D158" s="6" t="s">
        <v>38</v>
      </c>
      <c r="E158" s="6" t="s">
        <v>29</v>
      </c>
      <c r="F158" s="6" t="s">
        <v>18</v>
      </c>
      <c r="G158" s="6" t="s">
        <v>19</v>
      </c>
      <c r="H158" s="6" t="s">
        <v>111</v>
      </c>
      <c r="I158" s="6" t="s">
        <v>33</v>
      </c>
      <c r="J158" s="7">
        <v>23000</v>
      </c>
      <c r="K158" s="6" t="s">
        <v>22</v>
      </c>
      <c r="L158" s="6" t="s">
        <v>23</v>
      </c>
      <c r="M158" s="6" t="s">
        <v>316</v>
      </c>
      <c r="N158" s="8" t="s">
        <v>104</v>
      </c>
    </row>
    <row r="159" spans="1:14">
      <c r="A159" s="4" t="s">
        <v>338</v>
      </c>
      <c r="B159" s="5">
        <v>46169</v>
      </c>
      <c r="C159" s="6" t="s">
        <v>262</v>
      </c>
      <c r="D159" s="6" t="s">
        <v>263</v>
      </c>
      <c r="E159" s="6" t="s">
        <v>66</v>
      </c>
      <c r="F159" s="6" t="s">
        <v>18</v>
      </c>
      <c r="G159" s="6" t="s">
        <v>72</v>
      </c>
      <c r="H159" s="6" t="s">
        <v>282</v>
      </c>
      <c r="I159" s="6" t="s">
        <v>69</v>
      </c>
      <c r="J159" s="7">
        <v>14930</v>
      </c>
      <c r="K159" s="6" t="s">
        <v>22</v>
      </c>
      <c r="L159" s="6" t="s">
        <v>23</v>
      </c>
      <c r="M159" s="6" t="s">
        <v>316</v>
      </c>
      <c r="N159" s="8" t="s">
        <v>35</v>
      </c>
    </row>
    <row r="160" spans="1:14">
      <c r="A160" s="4" t="s">
        <v>339</v>
      </c>
      <c r="B160" s="5">
        <v>46169</v>
      </c>
      <c r="C160" s="6" t="s">
        <v>48</v>
      </c>
      <c r="D160" s="6" t="s">
        <v>49</v>
      </c>
      <c r="E160" s="6" t="s">
        <v>29</v>
      </c>
      <c r="F160" s="6" t="s">
        <v>50</v>
      </c>
      <c r="G160" s="6" t="s">
        <v>39</v>
      </c>
      <c r="H160" s="6" t="s">
        <v>85</v>
      </c>
      <c r="I160" s="6" t="s">
        <v>41</v>
      </c>
      <c r="J160" s="7">
        <v>26000</v>
      </c>
      <c r="K160" s="6" t="s">
        <v>22</v>
      </c>
      <c r="L160" s="6" t="s">
        <v>23</v>
      </c>
      <c r="M160" s="6" t="s">
        <v>316</v>
      </c>
      <c r="N160" s="8" t="s">
        <v>35</v>
      </c>
    </row>
    <row r="161" spans="1:14">
      <c r="A161" s="4" t="s">
        <v>340</v>
      </c>
      <c r="B161" s="5">
        <v>46169</v>
      </c>
      <c r="C161" s="6" t="s">
        <v>206</v>
      </c>
      <c r="D161" s="6" t="s">
        <v>207</v>
      </c>
      <c r="E161" s="6" t="s">
        <v>66</v>
      </c>
      <c r="F161" s="6" t="s">
        <v>50</v>
      </c>
      <c r="G161" s="6" t="s">
        <v>55</v>
      </c>
      <c r="H161" s="6" t="s">
        <v>56</v>
      </c>
      <c r="I161" s="6" t="s">
        <v>5</v>
      </c>
      <c r="J161" s="7">
        <v>132960</v>
      </c>
      <c r="K161" s="6" t="s">
        <v>57</v>
      </c>
      <c r="L161" s="6" t="s">
        <v>23</v>
      </c>
      <c r="M161" s="6" t="s">
        <v>316</v>
      </c>
      <c r="N161" s="8" t="s">
        <v>35</v>
      </c>
    </row>
    <row r="162" spans="1:14">
      <c r="A162" s="4" t="s">
        <v>341</v>
      </c>
      <c r="B162" s="5">
        <v>46170</v>
      </c>
      <c r="C162" s="6" t="s">
        <v>153</v>
      </c>
      <c r="D162" s="6" t="s">
        <v>154</v>
      </c>
      <c r="E162" s="6" t="s">
        <v>29</v>
      </c>
      <c r="F162" s="6" t="s">
        <v>18</v>
      </c>
      <c r="G162" s="6" t="s">
        <v>95</v>
      </c>
      <c r="H162" s="6" t="s">
        <v>96</v>
      </c>
      <c r="I162" s="6" t="s">
        <v>5</v>
      </c>
      <c r="J162" s="7">
        <v>13020</v>
      </c>
      <c r="K162" s="6" t="s">
        <v>22</v>
      </c>
      <c r="L162" s="6" t="s">
        <v>23</v>
      </c>
      <c r="M162" s="6" t="s">
        <v>316</v>
      </c>
      <c r="N162" s="8" t="s">
        <v>42</v>
      </c>
    </row>
    <row r="163" spans="1:14">
      <c r="A163" s="4" t="s">
        <v>342</v>
      </c>
      <c r="B163" s="5">
        <v>46170</v>
      </c>
      <c r="C163" s="6" t="s">
        <v>160</v>
      </c>
      <c r="D163" s="6" t="s">
        <v>161</v>
      </c>
      <c r="E163" s="6" t="s">
        <v>66</v>
      </c>
      <c r="F163" s="6" t="s">
        <v>18</v>
      </c>
      <c r="G163" s="6" t="s">
        <v>72</v>
      </c>
      <c r="H163" s="6" t="s">
        <v>73</v>
      </c>
      <c r="I163" s="6" t="s">
        <v>69</v>
      </c>
      <c r="J163" s="7">
        <v>5880</v>
      </c>
      <c r="K163" s="6" t="s">
        <v>22</v>
      </c>
      <c r="L163" s="6" t="s">
        <v>62</v>
      </c>
      <c r="M163" s="6" t="s">
        <v>316</v>
      </c>
      <c r="N163" s="8" t="s">
        <v>42</v>
      </c>
    </row>
    <row r="164" spans="1:14">
      <c r="A164" s="4" t="s">
        <v>343</v>
      </c>
      <c r="B164" s="5">
        <v>46174</v>
      </c>
      <c r="C164" s="6" t="s">
        <v>198</v>
      </c>
      <c r="D164" s="6" t="s">
        <v>88</v>
      </c>
      <c r="E164" s="6" t="s">
        <v>66</v>
      </c>
      <c r="F164" s="6" t="s">
        <v>81</v>
      </c>
      <c r="G164" s="6" t="s">
        <v>31</v>
      </c>
      <c r="H164" s="6" t="s">
        <v>101</v>
      </c>
      <c r="I164" s="6" t="s">
        <v>33</v>
      </c>
      <c r="J164" s="7">
        <v>2400</v>
      </c>
      <c r="K164" s="6" t="s">
        <v>22</v>
      </c>
      <c r="L164" s="6" t="s">
        <v>23</v>
      </c>
      <c r="M164" s="6" t="s">
        <v>344</v>
      </c>
      <c r="N164" s="8" t="s">
        <v>70</v>
      </c>
    </row>
    <row r="165" spans="1:14">
      <c r="A165" s="4" t="s">
        <v>345</v>
      </c>
      <c r="B165" s="5">
        <v>46174</v>
      </c>
      <c r="C165" s="6" t="s">
        <v>346</v>
      </c>
      <c r="D165" s="6" t="s">
        <v>347</v>
      </c>
      <c r="E165" s="6" t="s">
        <v>66</v>
      </c>
      <c r="F165" s="6" t="s">
        <v>67</v>
      </c>
      <c r="G165" s="6" t="s">
        <v>95</v>
      </c>
      <c r="H165" s="6" t="s">
        <v>96</v>
      </c>
      <c r="I165" s="6" t="s">
        <v>5</v>
      </c>
      <c r="J165" s="7">
        <v>11340</v>
      </c>
      <c r="K165" s="6" t="s">
        <v>22</v>
      </c>
      <c r="L165" s="6" t="s">
        <v>23</v>
      </c>
      <c r="M165" s="6" t="s">
        <v>344</v>
      </c>
      <c r="N165" s="8" t="s">
        <v>70</v>
      </c>
    </row>
    <row r="166" spans="1:14">
      <c r="A166" s="4" t="s">
        <v>348</v>
      </c>
      <c r="B166" s="5">
        <v>46174</v>
      </c>
      <c r="C166" s="6" t="s">
        <v>201</v>
      </c>
      <c r="D166" s="6" t="s">
        <v>202</v>
      </c>
      <c r="E166" s="6" t="s">
        <v>17</v>
      </c>
      <c r="F166" s="6" t="s">
        <v>30</v>
      </c>
      <c r="G166" s="6" t="s">
        <v>39</v>
      </c>
      <c r="H166" s="6" t="s">
        <v>40</v>
      </c>
      <c r="I166" s="6" t="s">
        <v>41</v>
      </c>
      <c r="J166" s="7">
        <v>14160</v>
      </c>
      <c r="K166" s="6" t="s">
        <v>22</v>
      </c>
      <c r="L166" s="6" t="s">
        <v>23</v>
      </c>
      <c r="M166" s="6" t="s">
        <v>344</v>
      </c>
      <c r="N166" s="8" t="s">
        <v>70</v>
      </c>
    </row>
    <row r="167" spans="1:14">
      <c r="A167" s="4" t="s">
        <v>349</v>
      </c>
      <c r="B167" s="5">
        <v>46174</v>
      </c>
      <c r="C167" s="6" t="s">
        <v>216</v>
      </c>
      <c r="D167" s="6" t="s">
        <v>217</v>
      </c>
      <c r="E167" s="6" t="s">
        <v>17</v>
      </c>
      <c r="F167" s="6" t="s">
        <v>67</v>
      </c>
      <c r="G167" s="6" t="s">
        <v>72</v>
      </c>
      <c r="H167" s="6" t="s">
        <v>282</v>
      </c>
      <c r="I167" s="6" t="s">
        <v>21</v>
      </c>
      <c r="J167" s="7">
        <v>2880</v>
      </c>
      <c r="K167" s="6" t="s">
        <v>22</v>
      </c>
      <c r="L167" s="6" t="s">
        <v>23</v>
      </c>
      <c r="M167" s="6" t="s">
        <v>344</v>
      </c>
      <c r="N167" s="8" t="s">
        <v>70</v>
      </c>
    </row>
    <row r="168" spans="1:14">
      <c r="A168" s="4" t="s">
        <v>350</v>
      </c>
      <c r="B168" s="5">
        <v>46176</v>
      </c>
      <c r="C168" s="6" t="s">
        <v>351</v>
      </c>
      <c r="D168" s="6" t="s">
        <v>352</v>
      </c>
      <c r="E168" s="6" t="s">
        <v>29</v>
      </c>
      <c r="F168" s="6" t="s">
        <v>115</v>
      </c>
      <c r="G168" s="6" t="s">
        <v>72</v>
      </c>
      <c r="H168" s="6" t="s">
        <v>180</v>
      </c>
      <c r="I168" s="6" t="s">
        <v>21</v>
      </c>
      <c r="J168" s="7">
        <v>4190</v>
      </c>
      <c r="K168" s="6" t="s">
        <v>22</v>
      </c>
      <c r="L168" s="6" t="s">
        <v>23</v>
      </c>
      <c r="M168" s="6" t="s">
        <v>344</v>
      </c>
      <c r="N168" s="8" t="s">
        <v>35</v>
      </c>
    </row>
    <row r="169" spans="1:14">
      <c r="A169" s="4" t="s">
        <v>353</v>
      </c>
      <c r="B169" s="5">
        <v>46176</v>
      </c>
      <c r="C169" s="6" t="s">
        <v>247</v>
      </c>
      <c r="D169" s="6" t="s">
        <v>248</v>
      </c>
      <c r="E169" s="6" t="s">
        <v>17</v>
      </c>
      <c r="F169" s="6" t="s">
        <v>50</v>
      </c>
      <c r="G169" s="6" t="s">
        <v>95</v>
      </c>
      <c r="H169" s="6" t="s">
        <v>96</v>
      </c>
      <c r="I169" s="6" t="s">
        <v>5</v>
      </c>
      <c r="J169" s="7">
        <v>13380</v>
      </c>
      <c r="K169" s="6" t="s">
        <v>22</v>
      </c>
      <c r="L169" s="6" t="s">
        <v>23</v>
      </c>
      <c r="M169" s="6" t="s">
        <v>344</v>
      </c>
      <c r="N169" s="8" t="s">
        <v>35</v>
      </c>
    </row>
    <row r="170" spans="1:14">
      <c r="A170" s="4" t="s">
        <v>354</v>
      </c>
      <c r="B170" s="5">
        <v>46176</v>
      </c>
      <c r="C170" s="6" t="s">
        <v>192</v>
      </c>
      <c r="D170" s="6" t="s">
        <v>147</v>
      </c>
      <c r="E170" s="6" t="s">
        <v>17</v>
      </c>
      <c r="F170" s="6" t="s">
        <v>81</v>
      </c>
      <c r="G170" s="6" t="s">
        <v>55</v>
      </c>
      <c r="H170" s="6" t="s">
        <v>56</v>
      </c>
      <c r="I170" s="6" t="s">
        <v>41</v>
      </c>
      <c r="J170" s="7">
        <v>137180</v>
      </c>
      <c r="K170" s="6" t="s">
        <v>57</v>
      </c>
      <c r="L170" s="6" t="s">
        <v>23</v>
      </c>
      <c r="M170" s="6" t="s">
        <v>344</v>
      </c>
      <c r="N170" s="8" t="s">
        <v>35</v>
      </c>
    </row>
    <row r="171" spans="1:14">
      <c r="A171" s="4" t="s">
        <v>355</v>
      </c>
      <c r="B171" s="5">
        <v>46177</v>
      </c>
      <c r="C171" s="6" t="s">
        <v>149</v>
      </c>
      <c r="D171" s="6" t="s">
        <v>150</v>
      </c>
      <c r="E171" s="6" t="s">
        <v>17</v>
      </c>
      <c r="F171" s="6" t="s">
        <v>18</v>
      </c>
      <c r="G171" s="6" t="s">
        <v>95</v>
      </c>
      <c r="H171" s="6" t="s">
        <v>96</v>
      </c>
      <c r="I171" s="6" t="s">
        <v>5</v>
      </c>
      <c r="J171" s="7">
        <v>12250</v>
      </c>
      <c r="K171" s="6" t="s">
        <v>22</v>
      </c>
      <c r="L171" s="6" t="s">
        <v>23</v>
      </c>
      <c r="M171" s="6" t="s">
        <v>344</v>
      </c>
      <c r="N171" s="8" t="s">
        <v>42</v>
      </c>
    </row>
    <row r="172" spans="1:14">
      <c r="A172" s="4" t="s">
        <v>356</v>
      </c>
      <c r="B172" s="5">
        <v>46178</v>
      </c>
      <c r="C172" s="6" t="s">
        <v>331</v>
      </c>
      <c r="D172" s="6" t="s">
        <v>127</v>
      </c>
      <c r="E172" s="6" t="s">
        <v>29</v>
      </c>
      <c r="F172" s="6" t="s">
        <v>81</v>
      </c>
      <c r="G172" s="6" t="s">
        <v>95</v>
      </c>
      <c r="H172" s="6" t="s">
        <v>96</v>
      </c>
      <c r="I172" s="6" t="s">
        <v>97</v>
      </c>
      <c r="J172" s="7">
        <v>14400</v>
      </c>
      <c r="K172" s="6" t="s">
        <v>22</v>
      </c>
      <c r="L172" s="6" t="s">
        <v>23</v>
      </c>
      <c r="M172" s="6" t="s">
        <v>344</v>
      </c>
      <c r="N172" s="8" t="s">
        <v>51</v>
      </c>
    </row>
    <row r="173" spans="1:14">
      <c r="A173" s="4" t="s">
        <v>357</v>
      </c>
      <c r="B173" s="5">
        <v>46179</v>
      </c>
      <c r="C173" s="6" t="s">
        <v>156</v>
      </c>
      <c r="D173" s="6" t="s">
        <v>157</v>
      </c>
      <c r="E173" s="6" t="s">
        <v>17</v>
      </c>
      <c r="F173" s="6" t="s">
        <v>115</v>
      </c>
      <c r="G173" s="6" t="s">
        <v>72</v>
      </c>
      <c r="H173" s="6" t="s">
        <v>73</v>
      </c>
      <c r="I173" s="6" t="s">
        <v>33</v>
      </c>
      <c r="J173" s="7">
        <v>8440</v>
      </c>
      <c r="K173" s="6" t="s">
        <v>22</v>
      </c>
      <c r="L173" s="6" t="s">
        <v>23</v>
      </c>
      <c r="M173" s="6" t="s">
        <v>344</v>
      </c>
      <c r="N173" s="8" t="s">
        <v>90</v>
      </c>
    </row>
    <row r="174" spans="1:14">
      <c r="A174" s="4" t="s">
        <v>358</v>
      </c>
      <c r="B174" s="5">
        <v>46180</v>
      </c>
      <c r="C174" s="6" t="s">
        <v>184</v>
      </c>
      <c r="D174" s="6" t="s">
        <v>185</v>
      </c>
      <c r="E174" s="6" t="s">
        <v>29</v>
      </c>
      <c r="F174" s="6" t="s">
        <v>186</v>
      </c>
      <c r="G174" s="6" t="s">
        <v>95</v>
      </c>
      <c r="H174" s="6" t="s">
        <v>96</v>
      </c>
      <c r="I174" s="6" t="s">
        <v>5</v>
      </c>
      <c r="J174" s="7">
        <v>18910</v>
      </c>
      <c r="K174" s="6" t="s">
        <v>22</v>
      </c>
      <c r="L174" s="6" t="s">
        <v>23</v>
      </c>
      <c r="M174" s="6" t="s">
        <v>344</v>
      </c>
      <c r="N174" s="8" t="s">
        <v>25</v>
      </c>
    </row>
    <row r="175" spans="1:14">
      <c r="A175" s="4" t="s">
        <v>359</v>
      </c>
      <c r="B175" s="5">
        <v>46181</v>
      </c>
      <c r="C175" s="6" t="s">
        <v>198</v>
      </c>
      <c r="D175" s="6" t="s">
        <v>88</v>
      </c>
      <c r="E175" s="6" t="s">
        <v>66</v>
      </c>
      <c r="F175" s="6" t="s">
        <v>81</v>
      </c>
      <c r="G175" s="6" t="s">
        <v>39</v>
      </c>
      <c r="H175" s="6" t="s">
        <v>103</v>
      </c>
      <c r="I175" s="6" t="s">
        <v>41</v>
      </c>
      <c r="J175" s="7">
        <v>930</v>
      </c>
      <c r="K175" s="6" t="s">
        <v>22</v>
      </c>
      <c r="L175" s="6" t="s">
        <v>23</v>
      </c>
      <c r="M175" s="6" t="s">
        <v>344</v>
      </c>
      <c r="N175" s="8" t="s">
        <v>70</v>
      </c>
    </row>
    <row r="176" spans="1:14">
      <c r="A176" s="4" t="s">
        <v>360</v>
      </c>
      <c r="B176" s="5">
        <v>46181</v>
      </c>
      <c r="C176" s="6" t="s">
        <v>140</v>
      </c>
      <c r="D176" s="6" t="s">
        <v>141</v>
      </c>
      <c r="E176" s="6" t="s">
        <v>29</v>
      </c>
      <c r="F176" s="6" t="s">
        <v>50</v>
      </c>
      <c r="G176" s="6" t="s">
        <v>39</v>
      </c>
      <c r="H176" s="6" t="s">
        <v>103</v>
      </c>
      <c r="I176" s="6" t="s">
        <v>33</v>
      </c>
      <c r="J176" s="7">
        <v>14460</v>
      </c>
      <c r="K176" s="6" t="s">
        <v>22</v>
      </c>
      <c r="L176" s="6" t="s">
        <v>23</v>
      </c>
      <c r="M176" s="6" t="s">
        <v>344</v>
      </c>
      <c r="N176" s="8" t="s">
        <v>70</v>
      </c>
    </row>
    <row r="177" spans="1:14">
      <c r="A177" s="4" t="s">
        <v>361</v>
      </c>
      <c r="B177" s="5">
        <v>46182</v>
      </c>
      <c r="C177" s="6" t="s">
        <v>126</v>
      </c>
      <c r="D177" s="6" t="s">
        <v>127</v>
      </c>
      <c r="E177" s="6" t="s">
        <v>66</v>
      </c>
      <c r="F177" s="6" t="s">
        <v>50</v>
      </c>
      <c r="G177" s="6" t="s">
        <v>95</v>
      </c>
      <c r="H177" s="6" t="s">
        <v>96</v>
      </c>
      <c r="I177" s="6" t="s">
        <v>97</v>
      </c>
      <c r="J177" s="7">
        <v>35390</v>
      </c>
      <c r="K177" s="6" t="s">
        <v>22</v>
      </c>
      <c r="L177" s="6" t="s">
        <v>23</v>
      </c>
      <c r="M177" s="6" t="s">
        <v>344</v>
      </c>
      <c r="N177" s="8" t="s">
        <v>104</v>
      </c>
    </row>
    <row r="178" spans="1:14">
      <c r="A178" s="4" t="s">
        <v>362</v>
      </c>
      <c r="B178" s="5">
        <v>46183</v>
      </c>
      <c r="C178" s="6" t="s">
        <v>113</v>
      </c>
      <c r="D178" s="6" t="s">
        <v>114</v>
      </c>
      <c r="E178" s="6" t="s">
        <v>66</v>
      </c>
      <c r="F178" s="6" t="s">
        <v>115</v>
      </c>
      <c r="G178" s="6" t="s">
        <v>95</v>
      </c>
      <c r="H178" s="6" t="s">
        <v>96</v>
      </c>
      <c r="I178" s="6" t="s">
        <v>97</v>
      </c>
      <c r="J178" s="7">
        <v>27030</v>
      </c>
      <c r="K178" s="6" t="s">
        <v>22</v>
      </c>
      <c r="L178" s="6" t="s">
        <v>23</v>
      </c>
      <c r="M178" s="6" t="s">
        <v>344</v>
      </c>
      <c r="N178" s="8" t="s">
        <v>35</v>
      </c>
    </row>
    <row r="179" spans="1:14">
      <c r="A179" s="4" t="s">
        <v>363</v>
      </c>
      <c r="B179" s="5">
        <v>46183</v>
      </c>
      <c r="C179" s="6" t="s">
        <v>235</v>
      </c>
      <c r="D179" s="6" t="s">
        <v>236</v>
      </c>
      <c r="E179" s="6" t="s">
        <v>29</v>
      </c>
      <c r="F179" s="6" t="s">
        <v>115</v>
      </c>
      <c r="G179" s="6" t="s">
        <v>95</v>
      </c>
      <c r="H179" s="6" t="s">
        <v>96</v>
      </c>
      <c r="I179" s="6" t="s">
        <v>97</v>
      </c>
      <c r="J179" s="7">
        <v>1520</v>
      </c>
      <c r="K179" s="6" t="s">
        <v>22</v>
      </c>
      <c r="L179" s="6" t="s">
        <v>23</v>
      </c>
      <c r="M179" s="6" t="s">
        <v>344</v>
      </c>
      <c r="N179" s="8" t="s">
        <v>35</v>
      </c>
    </row>
    <row r="180" spans="1:14">
      <c r="A180" s="4" t="s">
        <v>364</v>
      </c>
      <c r="B180" s="5">
        <v>46183</v>
      </c>
      <c r="C180" s="6" t="s">
        <v>365</v>
      </c>
      <c r="D180" s="6" t="s">
        <v>157</v>
      </c>
      <c r="E180" s="6" t="s">
        <v>66</v>
      </c>
      <c r="F180" s="6" t="s">
        <v>115</v>
      </c>
      <c r="G180" s="6" t="s">
        <v>31</v>
      </c>
      <c r="H180" s="6" t="s">
        <v>101</v>
      </c>
      <c r="I180" s="6" t="s">
        <v>69</v>
      </c>
      <c r="J180" s="7">
        <v>34890</v>
      </c>
      <c r="K180" s="6" t="s">
        <v>22</v>
      </c>
      <c r="L180" s="6" t="s">
        <v>23</v>
      </c>
      <c r="M180" s="6" t="s">
        <v>344</v>
      </c>
      <c r="N180" s="8" t="s">
        <v>35</v>
      </c>
    </row>
    <row r="181" spans="1:14">
      <c r="A181" s="4" t="s">
        <v>366</v>
      </c>
      <c r="B181" s="5">
        <v>46184</v>
      </c>
      <c r="C181" s="6" t="s">
        <v>160</v>
      </c>
      <c r="D181" s="6" t="s">
        <v>161</v>
      </c>
      <c r="E181" s="6" t="s">
        <v>66</v>
      </c>
      <c r="F181" s="6" t="s">
        <v>18</v>
      </c>
      <c r="G181" s="6" t="s">
        <v>19</v>
      </c>
      <c r="H181" s="6" t="s">
        <v>111</v>
      </c>
      <c r="I181" s="6" t="s">
        <v>69</v>
      </c>
      <c r="J181" s="7">
        <v>12500</v>
      </c>
      <c r="K181" s="6" t="s">
        <v>22</v>
      </c>
      <c r="L181" s="6" t="s">
        <v>23</v>
      </c>
      <c r="M181" s="6" t="s">
        <v>344</v>
      </c>
      <c r="N181" s="8" t="s">
        <v>42</v>
      </c>
    </row>
    <row r="182" spans="1:14">
      <c r="A182" s="4" t="s">
        <v>367</v>
      </c>
      <c r="B182" s="5">
        <v>46186</v>
      </c>
      <c r="C182" s="6" t="s">
        <v>156</v>
      </c>
      <c r="D182" s="6" t="s">
        <v>157</v>
      </c>
      <c r="E182" s="6" t="s">
        <v>17</v>
      </c>
      <c r="F182" s="6" t="s">
        <v>115</v>
      </c>
      <c r="G182" s="6" t="s">
        <v>95</v>
      </c>
      <c r="H182" s="6" t="s">
        <v>96</v>
      </c>
      <c r="I182" s="6" t="s">
        <v>97</v>
      </c>
      <c r="J182" s="7">
        <v>22220</v>
      </c>
      <c r="K182" s="6" t="s">
        <v>22</v>
      </c>
      <c r="L182" s="6" t="s">
        <v>23</v>
      </c>
      <c r="M182" s="6" t="s">
        <v>344</v>
      </c>
      <c r="N182" s="8" t="s">
        <v>90</v>
      </c>
    </row>
    <row r="183" spans="1:14">
      <c r="A183" s="4" t="s">
        <v>368</v>
      </c>
      <c r="B183" s="5">
        <v>46186</v>
      </c>
      <c r="C183" s="6" t="s">
        <v>126</v>
      </c>
      <c r="D183" s="6" t="s">
        <v>127</v>
      </c>
      <c r="E183" s="6" t="s">
        <v>66</v>
      </c>
      <c r="F183" s="6" t="s">
        <v>50</v>
      </c>
      <c r="G183" s="6" t="s">
        <v>39</v>
      </c>
      <c r="H183" s="6" t="s">
        <v>61</v>
      </c>
      <c r="I183" s="6" t="s">
        <v>21</v>
      </c>
      <c r="J183" s="7">
        <v>29270</v>
      </c>
      <c r="K183" s="6" t="s">
        <v>22</v>
      </c>
      <c r="L183" s="6" t="s">
        <v>23</v>
      </c>
      <c r="M183" s="6" t="s">
        <v>344</v>
      </c>
      <c r="N183" s="8" t="s">
        <v>90</v>
      </c>
    </row>
    <row r="184" spans="1:14">
      <c r="A184" s="4" t="s">
        <v>369</v>
      </c>
      <c r="B184" s="5">
        <v>46186</v>
      </c>
      <c r="C184" s="6" t="s">
        <v>182</v>
      </c>
      <c r="D184" s="6" t="s">
        <v>107</v>
      </c>
      <c r="E184" s="6" t="s">
        <v>66</v>
      </c>
      <c r="F184" s="6" t="s">
        <v>46</v>
      </c>
      <c r="G184" s="6" t="s">
        <v>95</v>
      </c>
      <c r="H184" s="6" t="s">
        <v>96</v>
      </c>
      <c r="I184" s="6" t="s">
        <v>5</v>
      </c>
      <c r="J184" s="7">
        <v>16850</v>
      </c>
      <c r="K184" s="6" t="s">
        <v>22</v>
      </c>
      <c r="L184" s="6" t="s">
        <v>23</v>
      </c>
      <c r="M184" s="6" t="s">
        <v>344</v>
      </c>
      <c r="N184" s="8" t="s">
        <v>90</v>
      </c>
    </row>
    <row r="185" spans="1:14">
      <c r="A185" s="4" t="s">
        <v>370</v>
      </c>
      <c r="B185" s="5">
        <v>46187</v>
      </c>
      <c r="C185" s="6" t="s">
        <v>165</v>
      </c>
      <c r="D185" s="6" t="s">
        <v>166</v>
      </c>
      <c r="E185" s="6" t="s">
        <v>29</v>
      </c>
      <c r="F185" s="6" t="s">
        <v>115</v>
      </c>
      <c r="G185" s="6" t="s">
        <v>31</v>
      </c>
      <c r="H185" s="6" t="s">
        <v>68</v>
      </c>
      <c r="I185" s="6" t="s">
        <v>69</v>
      </c>
      <c r="J185" s="7">
        <v>22160</v>
      </c>
      <c r="K185" s="6" t="s">
        <v>22</v>
      </c>
      <c r="L185" s="6" t="s">
        <v>23</v>
      </c>
      <c r="M185" s="6" t="s">
        <v>344</v>
      </c>
      <c r="N185" s="8" t="s">
        <v>25</v>
      </c>
    </row>
    <row r="186" spans="1:14">
      <c r="A186" s="4" t="s">
        <v>371</v>
      </c>
      <c r="B186" s="5">
        <v>46187</v>
      </c>
      <c r="C186" s="6" t="s">
        <v>113</v>
      </c>
      <c r="D186" s="6" t="s">
        <v>114</v>
      </c>
      <c r="E186" s="6" t="s">
        <v>66</v>
      </c>
      <c r="F186" s="6" t="s">
        <v>115</v>
      </c>
      <c r="G186" s="6" t="s">
        <v>95</v>
      </c>
      <c r="H186" s="6" t="s">
        <v>96</v>
      </c>
      <c r="I186" s="6" t="s">
        <v>97</v>
      </c>
      <c r="J186" s="7">
        <v>39430</v>
      </c>
      <c r="K186" s="6" t="s">
        <v>22</v>
      </c>
      <c r="L186" s="6" t="s">
        <v>23</v>
      </c>
      <c r="M186" s="6" t="s">
        <v>344</v>
      </c>
      <c r="N186" s="8" t="s">
        <v>25</v>
      </c>
    </row>
    <row r="187" spans="1:14">
      <c r="A187" s="4" t="s">
        <v>372</v>
      </c>
      <c r="B187" s="5">
        <v>46188</v>
      </c>
      <c r="C187" s="6" t="s">
        <v>243</v>
      </c>
      <c r="D187" s="6" t="s">
        <v>244</v>
      </c>
      <c r="E187" s="6" t="s">
        <v>29</v>
      </c>
      <c r="F187" s="6" t="s">
        <v>81</v>
      </c>
      <c r="G187" s="6" t="s">
        <v>55</v>
      </c>
      <c r="H187" s="6" t="s">
        <v>214</v>
      </c>
      <c r="I187" s="6" t="s">
        <v>33</v>
      </c>
      <c r="J187" s="7">
        <v>66040</v>
      </c>
      <c r="K187" s="6" t="s">
        <v>57</v>
      </c>
      <c r="L187" s="6" t="s">
        <v>23</v>
      </c>
      <c r="M187" s="6" t="s">
        <v>344</v>
      </c>
      <c r="N187" s="8" t="s">
        <v>70</v>
      </c>
    </row>
    <row r="188" spans="1:14">
      <c r="A188" s="4" t="s">
        <v>373</v>
      </c>
      <c r="B188" s="5">
        <v>46188</v>
      </c>
      <c r="C188" s="6" t="s">
        <v>117</v>
      </c>
      <c r="D188" s="6" t="s">
        <v>118</v>
      </c>
      <c r="E188" s="6" t="s">
        <v>29</v>
      </c>
      <c r="F188" s="6" t="s">
        <v>81</v>
      </c>
      <c r="G188" s="6" t="s">
        <v>39</v>
      </c>
      <c r="H188" s="6" t="s">
        <v>103</v>
      </c>
      <c r="I188" s="6" t="s">
        <v>21</v>
      </c>
      <c r="J188" s="7">
        <v>4700</v>
      </c>
      <c r="K188" s="6" t="s">
        <v>22</v>
      </c>
      <c r="L188" s="6" t="s">
        <v>23</v>
      </c>
      <c r="M188" s="6" t="s">
        <v>344</v>
      </c>
      <c r="N188" s="8" t="s">
        <v>70</v>
      </c>
    </row>
    <row r="189" spans="1:14">
      <c r="A189" s="4" t="s">
        <v>374</v>
      </c>
      <c r="B189" s="5">
        <v>46190</v>
      </c>
      <c r="C189" s="6" t="s">
        <v>156</v>
      </c>
      <c r="D189" s="6" t="s">
        <v>157</v>
      </c>
      <c r="E189" s="6" t="s">
        <v>17</v>
      </c>
      <c r="F189" s="6" t="s">
        <v>115</v>
      </c>
      <c r="G189" s="6" t="s">
        <v>95</v>
      </c>
      <c r="H189" s="6" t="s">
        <v>96</v>
      </c>
      <c r="I189" s="6" t="s">
        <v>5</v>
      </c>
      <c r="J189" s="7">
        <v>24300</v>
      </c>
      <c r="K189" s="6" t="s">
        <v>22</v>
      </c>
      <c r="L189" s="6" t="s">
        <v>23</v>
      </c>
      <c r="M189" s="6" t="s">
        <v>344</v>
      </c>
      <c r="N189" s="8" t="s">
        <v>35</v>
      </c>
    </row>
    <row r="190" spans="1:14">
      <c r="A190" s="4" t="s">
        <v>375</v>
      </c>
      <c r="B190" s="5">
        <v>46190</v>
      </c>
      <c r="C190" s="6" t="s">
        <v>351</v>
      </c>
      <c r="D190" s="6" t="s">
        <v>352</v>
      </c>
      <c r="E190" s="6" t="s">
        <v>29</v>
      </c>
      <c r="F190" s="6" t="s">
        <v>115</v>
      </c>
      <c r="G190" s="6" t="s">
        <v>72</v>
      </c>
      <c r="H190" s="6" t="s">
        <v>282</v>
      </c>
      <c r="I190" s="6" t="s">
        <v>33</v>
      </c>
      <c r="J190" s="7">
        <v>3090</v>
      </c>
      <c r="K190" s="6" t="s">
        <v>22</v>
      </c>
      <c r="L190" s="6" t="s">
        <v>23</v>
      </c>
      <c r="M190" s="6" t="s">
        <v>344</v>
      </c>
      <c r="N190" s="8" t="s">
        <v>35</v>
      </c>
    </row>
    <row r="191" spans="1:14">
      <c r="A191" s="4" t="s">
        <v>376</v>
      </c>
      <c r="B191" s="5">
        <v>46191</v>
      </c>
      <c r="C191" s="6" t="s">
        <v>223</v>
      </c>
      <c r="D191" s="6" t="s">
        <v>224</v>
      </c>
      <c r="E191" s="6" t="s">
        <v>17</v>
      </c>
      <c r="F191" s="6" t="s">
        <v>46</v>
      </c>
      <c r="G191" s="6" t="s">
        <v>55</v>
      </c>
      <c r="H191" s="6" t="s">
        <v>264</v>
      </c>
      <c r="I191" s="6" t="s">
        <v>97</v>
      </c>
      <c r="J191" s="7">
        <v>45200</v>
      </c>
      <c r="K191" s="6" t="s">
        <v>57</v>
      </c>
      <c r="L191" s="6" t="s">
        <v>62</v>
      </c>
      <c r="M191" s="6" t="s">
        <v>344</v>
      </c>
      <c r="N191" s="8" t="s">
        <v>42</v>
      </c>
    </row>
    <row r="192" spans="1:14">
      <c r="A192" s="4" t="s">
        <v>377</v>
      </c>
      <c r="B192" s="5">
        <v>46191</v>
      </c>
      <c r="C192" s="6" t="s">
        <v>64</v>
      </c>
      <c r="D192" s="6" t="s">
        <v>65</v>
      </c>
      <c r="E192" s="6" t="s">
        <v>66</v>
      </c>
      <c r="F192" s="6" t="s">
        <v>67</v>
      </c>
      <c r="G192" s="6" t="s">
        <v>72</v>
      </c>
      <c r="H192" s="6" t="s">
        <v>180</v>
      </c>
      <c r="I192" s="6" t="s">
        <v>69</v>
      </c>
      <c r="J192" s="7">
        <v>470</v>
      </c>
      <c r="K192" s="6" t="s">
        <v>22</v>
      </c>
      <c r="L192" s="6" t="s">
        <v>23</v>
      </c>
      <c r="M192" s="6" t="s">
        <v>344</v>
      </c>
      <c r="N192" s="8" t="s">
        <v>42</v>
      </c>
    </row>
    <row r="193" spans="1:14">
      <c r="A193" s="4" t="s">
        <v>378</v>
      </c>
      <c r="B193" s="5">
        <v>46192</v>
      </c>
      <c r="C193" s="6" t="s">
        <v>220</v>
      </c>
      <c r="D193" s="6" t="s">
        <v>161</v>
      </c>
      <c r="E193" s="6" t="s">
        <v>17</v>
      </c>
      <c r="F193" s="6" t="s">
        <v>67</v>
      </c>
      <c r="G193" s="6" t="s">
        <v>55</v>
      </c>
      <c r="H193" s="6" t="s">
        <v>214</v>
      </c>
      <c r="I193" s="6" t="s">
        <v>21</v>
      </c>
      <c r="J193" s="7">
        <v>120530</v>
      </c>
      <c r="K193" s="6" t="s">
        <v>57</v>
      </c>
      <c r="L193" s="6" t="s">
        <v>23</v>
      </c>
      <c r="M193" s="6" t="s">
        <v>344</v>
      </c>
      <c r="N193" s="8" t="s">
        <v>51</v>
      </c>
    </row>
    <row r="194" spans="1:14">
      <c r="A194" s="4" t="s">
        <v>379</v>
      </c>
      <c r="B194" s="5">
        <v>46193</v>
      </c>
      <c r="C194" s="6" t="s">
        <v>79</v>
      </c>
      <c r="D194" s="6" t="s">
        <v>80</v>
      </c>
      <c r="E194" s="6" t="s">
        <v>17</v>
      </c>
      <c r="F194" s="6" t="s">
        <v>81</v>
      </c>
      <c r="G194" s="6" t="s">
        <v>72</v>
      </c>
      <c r="H194" s="6" t="s">
        <v>73</v>
      </c>
      <c r="I194" s="6" t="s">
        <v>21</v>
      </c>
      <c r="J194" s="7">
        <v>5150</v>
      </c>
      <c r="K194" s="6" t="s">
        <v>22</v>
      </c>
      <c r="L194" s="6" t="s">
        <v>23</v>
      </c>
      <c r="M194" s="6" t="s">
        <v>344</v>
      </c>
      <c r="N194" s="8" t="s">
        <v>90</v>
      </c>
    </row>
    <row r="195" spans="1:14">
      <c r="A195" s="4" t="s">
        <v>380</v>
      </c>
      <c r="B195" s="5">
        <v>46193</v>
      </c>
      <c r="C195" s="6" t="s">
        <v>37</v>
      </c>
      <c r="D195" s="6" t="s">
        <v>38</v>
      </c>
      <c r="E195" s="6" t="s">
        <v>29</v>
      </c>
      <c r="F195" s="6" t="s">
        <v>18</v>
      </c>
      <c r="G195" s="6" t="s">
        <v>72</v>
      </c>
      <c r="H195" s="6" t="s">
        <v>282</v>
      </c>
      <c r="I195" s="6" t="s">
        <v>21</v>
      </c>
      <c r="J195" s="7">
        <v>13780</v>
      </c>
      <c r="K195" s="6" t="s">
        <v>22</v>
      </c>
      <c r="L195" s="6" t="s">
        <v>23</v>
      </c>
      <c r="M195" s="6" t="s">
        <v>344</v>
      </c>
      <c r="N195" s="8" t="s">
        <v>90</v>
      </c>
    </row>
    <row r="196" spans="1:14">
      <c r="A196" s="4" t="s">
        <v>381</v>
      </c>
      <c r="B196" s="5">
        <v>46193</v>
      </c>
      <c r="C196" s="6" t="s">
        <v>171</v>
      </c>
      <c r="D196" s="6" t="s">
        <v>172</v>
      </c>
      <c r="E196" s="6" t="s">
        <v>66</v>
      </c>
      <c r="F196" s="6" t="s">
        <v>81</v>
      </c>
      <c r="G196" s="6" t="s">
        <v>55</v>
      </c>
      <c r="H196" s="6" t="s">
        <v>56</v>
      </c>
      <c r="I196" s="6" t="s">
        <v>33</v>
      </c>
      <c r="J196" s="7">
        <v>30390</v>
      </c>
      <c r="K196" s="6" t="s">
        <v>57</v>
      </c>
      <c r="L196" s="6" t="s">
        <v>23</v>
      </c>
      <c r="M196" s="6" t="s">
        <v>344</v>
      </c>
      <c r="N196" s="8" t="s">
        <v>90</v>
      </c>
    </row>
    <row r="197" spans="1:14">
      <c r="A197" s="4" t="s">
        <v>382</v>
      </c>
      <c r="B197" s="5">
        <v>46194</v>
      </c>
      <c r="C197" s="6" t="s">
        <v>296</v>
      </c>
      <c r="D197" s="6" t="s">
        <v>297</v>
      </c>
      <c r="E197" s="6" t="s">
        <v>17</v>
      </c>
      <c r="F197" s="6" t="s">
        <v>46</v>
      </c>
      <c r="G197" s="6" t="s">
        <v>95</v>
      </c>
      <c r="H197" s="6" t="s">
        <v>96</v>
      </c>
      <c r="I197" s="6" t="s">
        <v>5</v>
      </c>
      <c r="J197" s="7">
        <v>11720</v>
      </c>
      <c r="K197" s="6" t="s">
        <v>22</v>
      </c>
      <c r="L197" s="6" t="s">
        <v>23</v>
      </c>
      <c r="M197" s="6" t="s">
        <v>344</v>
      </c>
      <c r="N197" s="8" t="s">
        <v>25</v>
      </c>
    </row>
    <row r="198" spans="1:14">
      <c r="A198" s="4" t="s">
        <v>383</v>
      </c>
      <c r="B198" s="5">
        <v>46196</v>
      </c>
      <c r="C198" s="6" t="s">
        <v>48</v>
      </c>
      <c r="D198" s="6" t="s">
        <v>49</v>
      </c>
      <c r="E198" s="6" t="s">
        <v>29</v>
      </c>
      <c r="F198" s="6" t="s">
        <v>50</v>
      </c>
      <c r="G198" s="6" t="s">
        <v>55</v>
      </c>
      <c r="H198" s="6" t="s">
        <v>214</v>
      </c>
      <c r="I198" s="6" t="s">
        <v>5</v>
      </c>
      <c r="J198" s="7">
        <v>100310</v>
      </c>
      <c r="K198" s="6" t="s">
        <v>57</v>
      </c>
      <c r="L198" s="6" t="s">
        <v>23</v>
      </c>
      <c r="M198" s="6" t="s">
        <v>344</v>
      </c>
      <c r="N198" s="8" t="s">
        <v>104</v>
      </c>
    </row>
    <row r="199" spans="1:14">
      <c r="A199" s="4" t="s">
        <v>384</v>
      </c>
      <c r="B199" s="5">
        <v>46197</v>
      </c>
      <c r="C199" s="6" t="s">
        <v>192</v>
      </c>
      <c r="D199" s="6" t="s">
        <v>147</v>
      </c>
      <c r="E199" s="6" t="s">
        <v>17</v>
      </c>
      <c r="F199" s="6" t="s">
        <v>81</v>
      </c>
      <c r="G199" s="6" t="s">
        <v>39</v>
      </c>
      <c r="H199" s="6" t="s">
        <v>123</v>
      </c>
      <c r="I199" s="6" t="s">
        <v>33</v>
      </c>
      <c r="J199" s="7">
        <v>26430</v>
      </c>
      <c r="K199" s="6" t="s">
        <v>22</v>
      </c>
      <c r="L199" s="6" t="s">
        <v>23</v>
      </c>
      <c r="M199" s="6" t="s">
        <v>344</v>
      </c>
      <c r="N199" s="8" t="s">
        <v>35</v>
      </c>
    </row>
    <row r="200" spans="1:14">
      <c r="A200" s="4" t="s">
        <v>385</v>
      </c>
      <c r="B200" s="5">
        <v>46199</v>
      </c>
      <c r="C200" s="6" t="s">
        <v>285</v>
      </c>
      <c r="D200" s="6" t="s">
        <v>286</v>
      </c>
      <c r="E200" s="6" t="s">
        <v>29</v>
      </c>
      <c r="F200" s="6" t="s">
        <v>81</v>
      </c>
      <c r="G200" s="6" t="s">
        <v>95</v>
      </c>
      <c r="H200" s="6" t="s">
        <v>96</v>
      </c>
      <c r="I200" s="6" t="s">
        <v>5</v>
      </c>
      <c r="J200" s="7">
        <v>27770</v>
      </c>
      <c r="K200" s="6" t="s">
        <v>22</v>
      </c>
      <c r="L200" s="6" t="s">
        <v>23</v>
      </c>
      <c r="M200" s="6" t="s">
        <v>344</v>
      </c>
      <c r="N200" s="8" t="s">
        <v>51</v>
      </c>
    </row>
    <row r="201" spans="1:14">
      <c r="A201" s="4" t="s">
        <v>386</v>
      </c>
      <c r="B201" s="5">
        <v>46199</v>
      </c>
      <c r="C201" s="6" t="s">
        <v>171</v>
      </c>
      <c r="D201" s="6" t="s">
        <v>172</v>
      </c>
      <c r="E201" s="6" t="s">
        <v>66</v>
      </c>
      <c r="F201" s="6" t="s">
        <v>81</v>
      </c>
      <c r="G201" s="6" t="s">
        <v>39</v>
      </c>
      <c r="H201" s="6" t="s">
        <v>40</v>
      </c>
      <c r="I201" s="6" t="s">
        <v>33</v>
      </c>
      <c r="J201" s="7">
        <v>19270</v>
      </c>
      <c r="K201" s="6" t="s">
        <v>22</v>
      </c>
      <c r="L201" s="6" t="s">
        <v>23</v>
      </c>
      <c r="M201" s="6" t="s">
        <v>344</v>
      </c>
      <c r="N201" s="8" t="s">
        <v>51</v>
      </c>
    </row>
    <row r="202" spans="1:14">
      <c r="A202" s="4" t="s">
        <v>387</v>
      </c>
      <c r="B202" s="5">
        <v>46201</v>
      </c>
      <c r="C202" s="6" t="s">
        <v>160</v>
      </c>
      <c r="D202" s="6" t="s">
        <v>161</v>
      </c>
      <c r="E202" s="6" t="s">
        <v>66</v>
      </c>
      <c r="F202" s="6" t="s">
        <v>18</v>
      </c>
      <c r="G202" s="6" t="s">
        <v>55</v>
      </c>
      <c r="H202" s="6" t="s">
        <v>214</v>
      </c>
      <c r="I202" s="6" t="s">
        <v>33</v>
      </c>
      <c r="J202" s="7">
        <v>23470</v>
      </c>
      <c r="K202" s="6" t="s">
        <v>57</v>
      </c>
      <c r="L202" s="6" t="s">
        <v>62</v>
      </c>
      <c r="M202" s="6" t="s">
        <v>344</v>
      </c>
      <c r="N202" s="8" t="s">
        <v>25</v>
      </c>
    </row>
    <row r="203" spans="1:14">
      <c r="A203" s="4" t="s">
        <v>388</v>
      </c>
      <c r="B203" s="5">
        <v>46202</v>
      </c>
      <c r="C203" s="6" t="s">
        <v>235</v>
      </c>
      <c r="D203" s="6" t="s">
        <v>236</v>
      </c>
      <c r="E203" s="6" t="s">
        <v>29</v>
      </c>
      <c r="F203" s="6" t="s">
        <v>115</v>
      </c>
      <c r="G203" s="6" t="s">
        <v>31</v>
      </c>
      <c r="H203" s="6" t="s">
        <v>144</v>
      </c>
      <c r="I203" s="6" t="s">
        <v>69</v>
      </c>
      <c r="J203" s="7">
        <v>98130</v>
      </c>
      <c r="K203" s="6" t="s">
        <v>22</v>
      </c>
      <c r="L203" s="6" t="s">
        <v>23</v>
      </c>
      <c r="M203" s="6" t="s">
        <v>344</v>
      </c>
      <c r="N203" s="8" t="s">
        <v>70</v>
      </c>
    </row>
    <row r="204" spans="1:14">
      <c r="A204" s="4" t="s">
        <v>389</v>
      </c>
      <c r="B204" s="5">
        <v>46202</v>
      </c>
      <c r="C204" s="6" t="s">
        <v>27</v>
      </c>
      <c r="D204" s="6" t="s">
        <v>28</v>
      </c>
      <c r="E204" s="6" t="s">
        <v>29</v>
      </c>
      <c r="F204" s="6" t="s">
        <v>30</v>
      </c>
      <c r="G204" s="6" t="s">
        <v>31</v>
      </c>
      <c r="H204" s="6" t="s">
        <v>32</v>
      </c>
      <c r="I204" s="6" t="s">
        <v>21</v>
      </c>
      <c r="J204" s="7">
        <v>76500</v>
      </c>
      <c r="K204" s="6" t="s">
        <v>22</v>
      </c>
      <c r="L204" s="6" t="s">
        <v>23</v>
      </c>
      <c r="M204" s="6" t="s">
        <v>344</v>
      </c>
      <c r="N204" s="8" t="s">
        <v>70</v>
      </c>
    </row>
    <row r="205" spans="1:14">
      <c r="A205" s="4" t="s">
        <v>390</v>
      </c>
      <c r="B205" s="5">
        <v>46202</v>
      </c>
      <c r="C205" s="6" t="s">
        <v>175</v>
      </c>
      <c r="D205" s="6" t="s">
        <v>176</v>
      </c>
      <c r="E205" s="6" t="s">
        <v>29</v>
      </c>
      <c r="F205" s="6" t="s">
        <v>30</v>
      </c>
      <c r="G205" s="6" t="s">
        <v>55</v>
      </c>
      <c r="H205" s="6" t="s">
        <v>214</v>
      </c>
      <c r="I205" s="6" t="s">
        <v>21</v>
      </c>
      <c r="J205" s="7">
        <v>94150</v>
      </c>
      <c r="K205" s="6" t="s">
        <v>57</v>
      </c>
      <c r="L205" s="6" t="s">
        <v>23</v>
      </c>
      <c r="M205" s="6" t="s">
        <v>344</v>
      </c>
      <c r="N205" s="8" t="s">
        <v>70</v>
      </c>
    </row>
    <row r="206" spans="1:14">
      <c r="A206" s="4" t="s">
        <v>391</v>
      </c>
      <c r="B206" s="5">
        <v>46203</v>
      </c>
      <c r="C206" s="6" t="s">
        <v>346</v>
      </c>
      <c r="D206" s="6" t="s">
        <v>347</v>
      </c>
      <c r="E206" s="6" t="s">
        <v>66</v>
      </c>
      <c r="F206" s="6" t="s">
        <v>67</v>
      </c>
      <c r="G206" s="6" t="s">
        <v>31</v>
      </c>
      <c r="H206" s="6" t="s">
        <v>68</v>
      </c>
      <c r="I206" s="6" t="s">
        <v>33</v>
      </c>
      <c r="J206" s="7">
        <v>25890</v>
      </c>
      <c r="K206" s="6" t="s">
        <v>22</v>
      </c>
      <c r="L206" s="6" t="s">
        <v>23</v>
      </c>
      <c r="M206" s="6" t="s">
        <v>344</v>
      </c>
      <c r="N206" s="8" t="s">
        <v>104</v>
      </c>
    </row>
    <row r="207" spans="1:14">
      <c r="A207" s="4" t="s">
        <v>392</v>
      </c>
      <c r="B207" s="5">
        <v>46206</v>
      </c>
      <c r="C207" s="6" t="s">
        <v>129</v>
      </c>
      <c r="D207" s="6" t="s">
        <v>130</v>
      </c>
      <c r="E207" s="6" t="s">
        <v>29</v>
      </c>
      <c r="F207" s="6" t="s">
        <v>46</v>
      </c>
      <c r="G207" s="6" t="s">
        <v>31</v>
      </c>
      <c r="H207" s="6" t="s">
        <v>32</v>
      </c>
      <c r="I207" s="6" t="s">
        <v>21</v>
      </c>
      <c r="J207" s="7">
        <v>96850</v>
      </c>
      <c r="K207" s="6" t="s">
        <v>22</v>
      </c>
      <c r="L207" s="6" t="s">
        <v>34</v>
      </c>
      <c r="M207" s="6" t="s">
        <v>393</v>
      </c>
      <c r="N207" s="8" t="s">
        <v>51</v>
      </c>
    </row>
    <row r="208" spans="1:14">
      <c r="A208" s="4" t="s">
        <v>394</v>
      </c>
      <c r="B208" s="5">
        <v>46208</v>
      </c>
      <c r="C208" s="6" t="s">
        <v>37</v>
      </c>
      <c r="D208" s="6" t="s">
        <v>38</v>
      </c>
      <c r="E208" s="6" t="s">
        <v>29</v>
      </c>
      <c r="F208" s="6" t="s">
        <v>18</v>
      </c>
      <c r="G208" s="6" t="s">
        <v>31</v>
      </c>
      <c r="H208" s="6" t="s">
        <v>144</v>
      </c>
      <c r="I208" s="6" t="s">
        <v>21</v>
      </c>
      <c r="J208" s="7">
        <v>25090</v>
      </c>
      <c r="K208" s="6" t="s">
        <v>22</v>
      </c>
      <c r="L208" s="6" t="s">
        <v>23</v>
      </c>
      <c r="M208" s="6" t="s">
        <v>393</v>
      </c>
      <c r="N208" s="8" t="s">
        <v>25</v>
      </c>
    </row>
    <row r="209" spans="1:14">
      <c r="A209" s="4" t="s">
        <v>395</v>
      </c>
      <c r="B209" s="5">
        <v>46209</v>
      </c>
      <c r="C209" s="6" t="s">
        <v>262</v>
      </c>
      <c r="D209" s="6" t="s">
        <v>263</v>
      </c>
      <c r="E209" s="6" t="s">
        <v>66</v>
      </c>
      <c r="F209" s="6" t="s">
        <v>18</v>
      </c>
      <c r="G209" s="6" t="s">
        <v>55</v>
      </c>
      <c r="H209" s="6" t="s">
        <v>214</v>
      </c>
      <c r="I209" s="6" t="s">
        <v>21</v>
      </c>
      <c r="J209" s="7">
        <v>95360</v>
      </c>
      <c r="K209" s="6" t="s">
        <v>57</v>
      </c>
      <c r="L209" s="6" t="s">
        <v>23</v>
      </c>
      <c r="M209" s="6" t="s">
        <v>393</v>
      </c>
      <c r="N209" s="8" t="s">
        <v>70</v>
      </c>
    </row>
    <row r="210" spans="1:14">
      <c r="A210" s="4" t="s">
        <v>396</v>
      </c>
      <c r="B210" s="5">
        <v>46210</v>
      </c>
      <c r="C210" s="6" t="s">
        <v>195</v>
      </c>
      <c r="D210" s="6" t="s">
        <v>196</v>
      </c>
      <c r="E210" s="6" t="s">
        <v>17</v>
      </c>
      <c r="F210" s="6" t="s">
        <v>50</v>
      </c>
      <c r="G210" s="6" t="s">
        <v>31</v>
      </c>
      <c r="H210" s="6" t="s">
        <v>32</v>
      </c>
      <c r="I210" s="6" t="s">
        <v>33</v>
      </c>
      <c r="J210" s="7">
        <v>83220</v>
      </c>
      <c r="K210" s="6" t="s">
        <v>22</v>
      </c>
      <c r="L210" s="6" t="s">
        <v>23</v>
      </c>
      <c r="M210" s="6" t="s">
        <v>393</v>
      </c>
      <c r="N210" s="8" t="s">
        <v>104</v>
      </c>
    </row>
    <row r="211" spans="1:14">
      <c r="A211" s="4" t="s">
        <v>397</v>
      </c>
      <c r="B211" s="5">
        <v>46210</v>
      </c>
      <c r="C211" s="6" t="s">
        <v>133</v>
      </c>
      <c r="D211" s="6" t="s">
        <v>134</v>
      </c>
      <c r="E211" s="6" t="s">
        <v>17</v>
      </c>
      <c r="F211" s="6" t="s">
        <v>115</v>
      </c>
      <c r="G211" s="6" t="s">
        <v>31</v>
      </c>
      <c r="H211" s="6" t="s">
        <v>101</v>
      </c>
      <c r="I211" s="6" t="s">
        <v>69</v>
      </c>
      <c r="J211" s="7">
        <v>56620</v>
      </c>
      <c r="K211" s="6" t="s">
        <v>22</v>
      </c>
      <c r="L211" s="6" t="s">
        <v>23</v>
      </c>
      <c r="M211" s="6" t="s">
        <v>393</v>
      </c>
      <c r="N211" s="8" t="s">
        <v>104</v>
      </c>
    </row>
    <row r="212" spans="1:14">
      <c r="A212" s="4" t="s">
        <v>398</v>
      </c>
      <c r="B212" s="5">
        <v>46211</v>
      </c>
      <c r="C212" s="6" t="s">
        <v>220</v>
      </c>
      <c r="D212" s="6" t="s">
        <v>161</v>
      </c>
      <c r="E212" s="6" t="s">
        <v>17</v>
      </c>
      <c r="F212" s="6" t="s">
        <v>67</v>
      </c>
      <c r="G212" s="6" t="s">
        <v>39</v>
      </c>
      <c r="H212" s="6" t="s">
        <v>103</v>
      </c>
      <c r="I212" s="6" t="s">
        <v>21</v>
      </c>
      <c r="J212" s="7">
        <v>13960</v>
      </c>
      <c r="K212" s="6" t="s">
        <v>22</v>
      </c>
      <c r="L212" s="6" t="s">
        <v>23</v>
      </c>
      <c r="M212" s="6" t="s">
        <v>393</v>
      </c>
      <c r="N212" s="8" t="s">
        <v>35</v>
      </c>
    </row>
    <row r="213" spans="1:14">
      <c r="A213" s="4" t="s">
        <v>399</v>
      </c>
      <c r="B213" s="5">
        <v>46211</v>
      </c>
      <c r="C213" s="6" t="s">
        <v>262</v>
      </c>
      <c r="D213" s="6" t="s">
        <v>263</v>
      </c>
      <c r="E213" s="6" t="s">
        <v>66</v>
      </c>
      <c r="F213" s="6" t="s">
        <v>18</v>
      </c>
      <c r="G213" s="6" t="s">
        <v>39</v>
      </c>
      <c r="H213" s="6" t="s">
        <v>61</v>
      </c>
      <c r="I213" s="6" t="s">
        <v>33</v>
      </c>
      <c r="J213" s="7">
        <v>13300</v>
      </c>
      <c r="K213" s="6" t="s">
        <v>22</v>
      </c>
      <c r="L213" s="6" t="s">
        <v>34</v>
      </c>
      <c r="M213" s="6" t="s">
        <v>393</v>
      </c>
      <c r="N213" s="8" t="s">
        <v>35</v>
      </c>
    </row>
    <row r="214" spans="1:14">
      <c r="A214" s="4" t="s">
        <v>400</v>
      </c>
      <c r="B214" s="5">
        <v>46211</v>
      </c>
      <c r="C214" s="6" t="s">
        <v>165</v>
      </c>
      <c r="D214" s="6" t="s">
        <v>166</v>
      </c>
      <c r="E214" s="6" t="s">
        <v>29</v>
      </c>
      <c r="F214" s="6" t="s">
        <v>115</v>
      </c>
      <c r="G214" s="6" t="s">
        <v>39</v>
      </c>
      <c r="H214" s="6" t="s">
        <v>85</v>
      </c>
      <c r="I214" s="6" t="s">
        <v>33</v>
      </c>
      <c r="J214" s="7">
        <v>4070</v>
      </c>
      <c r="K214" s="6" t="s">
        <v>22</v>
      </c>
      <c r="L214" s="6" t="s">
        <v>23</v>
      </c>
      <c r="M214" s="6" t="s">
        <v>393</v>
      </c>
      <c r="N214" s="8" t="s">
        <v>35</v>
      </c>
    </row>
    <row r="215" spans="1:14">
      <c r="A215" s="4" t="s">
        <v>401</v>
      </c>
      <c r="B215" s="5">
        <v>46213</v>
      </c>
      <c r="C215" s="6" t="s">
        <v>182</v>
      </c>
      <c r="D215" s="6" t="s">
        <v>107</v>
      </c>
      <c r="E215" s="6" t="s">
        <v>66</v>
      </c>
      <c r="F215" s="6" t="s">
        <v>46</v>
      </c>
      <c r="G215" s="6" t="s">
        <v>95</v>
      </c>
      <c r="H215" s="6" t="s">
        <v>96</v>
      </c>
      <c r="I215" s="6" t="s">
        <v>5</v>
      </c>
      <c r="J215" s="7">
        <v>31090</v>
      </c>
      <c r="K215" s="6" t="s">
        <v>22</v>
      </c>
      <c r="L215" s="6" t="s">
        <v>23</v>
      </c>
      <c r="M215" s="6" t="s">
        <v>393</v>
      </c>
      <c r="N215" s="8" t="s">
        <v>51</v>
      </c>
    </row>
    <row r="216" spans="1:14">
      <c r="A216" s="4" t="s">
        <v>402</v>
      </c>
      <c r="B216" s="5">
        <v>46214</v>
      </c>
      <c r="C216" s="6" t="s">
        <v>168</v>
      </c>
      <c r="D216" s="6" t="s">
        <v>169</v>
      </c>
      <c r="E216" s="6" t="s">
        <v>17</v>
      </c>
      <c r="F216" s="6" t="s">
        <v>46</v>
      </c>
      <c r="G216" s="6" t="s">
        <v>31</v>
      </c>
      <c r="H216" s="6" t="s">
        <v>68</v>
      </c>
      <c r="I216" s="6" t="s">
        <v>33</v>
      </c>
      <c r="J216" s="7">
        <v>38190</v>
      </c>
      <c r="K216" s="6" t="s">
        <v>22</v>
      </c>
      <c r="L216" s="6" t="s">
        <v>23</v>
      </c>
      <c r="M216" s="6" t="s">
        <v>393</v>
      </c>
      <c r="N216" s="8" t="s">
        <v>90</v>
      </c>
    </row>
    <row r="217" spans="1:14">
      <c r="A217" s="4" t="s">
        <v>403</v>
      </c>
      <c r="B217" s="5">
        <v>46217</v>
      </c>
      <c r="C217" s="6" t="s">
        <v>149</v>
      </c>
      <c r="D217" s="6" t="s">
        <v>150</v>
      </c>
      <c r="E217" s="6" t="s">
        <v>17</v>
      </c>
      <c r="F217" s="6" t="s">
        <v>18</v>
      </c>
      <c r="G217" s="6" t="s">
        <v>55</v>
      </c>
      <c r="H217" s="6" t="s">
        <v>56</v>
      </c>
      <c r="I217" s="6" t="s">
        <v>21</v>
      </c>
      <c r="J217" s="7">
        <v>128750</v>
      </c>
      <c r="K217" s="6" t="s">
        <v>57</v>
      </c>
      <c r="L217" s="6" t="s">
        <v>34</v>
      </c>
      <c r="M217" s="6" t="s">
        <v>393</v>
      </c>
      <c r="N217" s="8" t="s">
        <v>104</v>
      </c>
    </row>
    <row r="218" spans="1:14">
      <c r="A218" s="4" t="s">
        <v>404</v>
      </c>
      <c r="B218" s="5">
        <v>46217</v>
      </c>
      <c r="C218" s="6" t="s">
        <v>79</v>
      </c>
      <c r="D218" s="6" t="s">
        <v>80</v>
      </c>
      <c r="E218" s="6" t="s">
        <v>17</v>
      </c>
      <c r="F218" s="6" t="s">
        <v>81</v>
      </c>
      <c r="G218" s="6" t="s">
        <v>95</v>
      </c>
      <c r="H218" s="6" t="s">
        <v>96</v>
      </c>
      <c r="I218" s="6" t="s">
        <v>5</v>
      </c>
      <c r="J218" s="7">
        <v>13830</v>
      </c>
      <c r="K218" s="6" t="s">
        <v>22</v>
      </c>
      <c r="L218" s="6" t="s">
        <v>23</v>
      </c>
      <c r="M218" s="6" t="s">
        <v>393</v>
      </c>
      <c r="N218" s="8" t="s">
        <v>104</v>
      </c>
    </row>
    <row r="219" spans="1:14">
      <c r="A219" s="4" t="s">
        <v>405</v>
      </c>
      <c r="B219" s="5">
        <v>46218</v>
      </c>
      <c r="C219" s="6" t="s">
        <v>117</v>
      </c>
      <c r="D219" s="6" t="s">
        <v>118</v>
      </c>
      <c r="E219" s="6" t="s">
        <v>29</v>
      </c>
      <c r="F219" s="6" t="s">
        <v>81</v>
      </c>
      <c r="G219" s="6" t="s">
        <v>55</v>
      </c>
      <c r="H219" s="6" t="s">
        <v>158</v>
      </c>
      <c r="I219" s="6" t="s">
        <v>5</v>
      </c>
      <c r="J219" s="7">
        <v>123410</v>
      </c>
      <c r="K219" s="6" t="s">
        <v>57</v>
      </c>
      <c r="L219" s="6" t="s">
        <v>23</v>
      </c>
      <c r="M219" s="6" t="s">
        <v>393</v>
      </c>
      <c r="N219" s="8" t="s">
        <v>35</v>
      </c>
    </row>
    <row r="220" spans="1:14">
      <c r="A220" s="4" t="s">
        <v>406</v>
      </c>
      <c r="B220" s="5">
        <v>46218</v>
      </c>
      <c r="C220" s="6" t="s">
        <v>75</v>
      </c>
      <c r="D220" s="6" t="s">
        <v>76</v>
      </c>
      <c r="E220" s="6" t="s">
        <v>17</v>
      </c>
      <c r="F220" s="6" t="s">
        <v>46</v>
      </c>
      <c r="G220" s="6" t="s">
        <v>31</v>
      </c>
      <c r="H220" s="6" t="s">
        <v>144</v>
      </c>
      <c r="I220" s="6" t="s">
        <v>33</v>
      </c>
      <c r="J220" s="7">
        <v>51050</v>
      </c>
      <c r="K220" s="6" t="s">
        <v>22</v>
      </c>
      <c r="L220" s="6" t="s">
        <v>23</v>
      </c>
      <c r="M220" s="6" t="s">
        <v>393</v>
      </c>
      <c r="N220" s="8" t="s">
        <v>35</v>
      </c>
    </row>
    <row r="221" spans="1:14">
      <c r="A221" s="4" t="s">
        <v>407</v>
      </c>
      <c r="B221" s="5">
        <v>46220</v>
      </c>
      <c r="C221" s="6" t="s">
        <v>168</v>
      </c>
      <c r="D221" s="6" t="s">
        <v>169</v>
      </c>
      <c r="E221" s="6" t="s">
        <v>17</v>
      </c>
      <c r="F221" s="6" t="s">
        <v>46</v>
      </c>
      <c r="G221" s="6" t="s">
        <v>72</v>
      </c>
      <c r="H221" s="6" t="s">
        <v>180</v>
      </c>
      <c r="I221" s="6" t="s">
        <v>33</v>
      </c>
      <c r="J221" s="7">
        <v>950</v>
      </c>
      <c r="K221" s="6" t="s">
        <v>22</v>
      </c>
      <c r="L221" s="6" t="s">
        <v>23</v>
      </c>
      <c r="M221" s="6" t="s">
        <v>393</v>
      </c>
      <c r="N221" s="8" t="s">
        <v>51</v>
      </c>
    </row>
    <row r="222" spans="1:14">
      <c r="A222" s="4" t="s">
        <v>408</v>
      </c>
      <c r="B222" s="5">
        <v>46220</v>
      </c>
      <c r="C222" s="6" t="s">
        <v>156</v>
      </c>
      <c r="D222" s="6" t="s">
        <v>157</v>
      </c>
      <c r="E222" s="6" t="s">
        <v>17</v>
      </c>
      <c r="F222" s="6" t="s">
        <v>115</v>
      </c>
      <c r="G222" s="6" t="s">
        <v>19</v>
      </c>
      <c r="H222" s="6" t="s">
        <v>20</v>
      </c>
      <c r="I222" s="6" t="s">
        <v>69</v>
      </c>
      <c r="J222" s="7">
        <v>44000</v>
      </c>
      <c r="K222" s="6" t="s">
        <v>22</v>
      </c>
      <c r="L222" s="6" t="s">
        <v>23</v>
      </c>
      <c r="M222" s="6" t="s">
        <v>393</v>
      </c>
      <c r="N222" s="8" t="s">
        <v>51</v>
      </c>
    </row>
    <row r="223" spans="1:14">
      <c r="A223" s="4" t="s">
        <v>409</v>
      </c>
      <c r="B223" s="5">
        <v>46221</v>
      </c>
      <c r="C223" s="6" t="s">
        <v>165</v>
      </c>
      <c r="D223" s="6" t="s">
        <v>166</v>
      </c>
      <c r="E223" s="6" t="s">
        <v>29</v>
      </c>
      <c r="F223" s="6" t="s">
        <v>115</v>
      </c>
      <c r="G223" s="6" t="s">
        <v>31</v>
      </c>
      <c r="H223" s="6" t="s">
        <v>68</v>
      </c>
      <c r="I223" s="6" t="s">
        <v>69</v>
      </c>
      <c r="J223" s="7">
        <v>69950</v>
      </c>
      <c r="K223" s="6" t="s">
        <v>22</v>
      </c>
      <c r="L223" s="6" t="s">
        <v>23</v>
      </c>
      <c r="M223" s="6" t="s">
        <v>393</v>
      </c>
      <c r="N223" s="8" t="s">
        <v>90</v>
      </c>
    </row>
    <row r="224" spans="1:14">
      <c r="A224" s="4" t="s">
        <v>410</v>
      </c>
      <c r="B224" s="5">
        <v>46221</v>
      </c>
      <c r="C224" s="6" t="s">
        <v>113</v>
      </c>
      <c r="D224" s="6" t="s">
        <v>114</v>
      </c>
      <c r="E224" s="6" t="s">
        <v>66</v>
      </c>
      <c r="F224" s="6" t="s">
        <v>115</v>
      </c>
      <c r="G224" s="6" t="s">
        <v>95</v>
      </c>
      <c r="H224" s="6" t="s">
        <v>96</v>
      </c>
      <c r="I224" s="6" t="s">
        <v>5</v>
      </c>
      <c r="J224" s="7">
        <v>26040</v>
      </c>
      <c r="K224" s="6" t="s">
        <v>22</v>
      </c>
      <c r="L224" s="6" t="s">
        <v>23</v>
      </c>
      <c r="M224" s="6" t="s">
        <v>393</v>
      </c>
      <c r="N224" s="8" t="s">
        <v>90</v>
      </c>
    </row>
    <row r="225" spans="1:14">
      <c r="A225" s="4" t="s">
        <v>411</v>
      </c>
      <c r="B225" s="5">
        <v>46225</v>
      </c>
      <c r="C225" s="6" t="s">
        <v>117</v>
      </c>
      <c r="D225" s="6" t="s">
        <v>118</v>
      </c>
      <c r="E225" s="6" t="s">
        <v>29</v>
      </c>
      <c r="F225" s="6" t="s">
        <v>81</v>
      </c>
      <c r="G225" s="6" t="s">
        <v>95</v>
      </c>
      <c r="H225" s="6" t="s">
        <v>96</v>
      </c>
      <c r="I225" s="6" t="s">
        <v>5</v>
      </c>
      <c r="J225" s="7">
        <v>9250</v>
      </c>
      <c r="K225" s="6" t="s">
        <v>22</v>
      </c>
      <c r="L225" s="6" t="s">
        <v>23</v>
      </c>
      <c r="M225" s="6" t="s">
        <v>393</v>
      </c>
      <c r="N225" s="8" t="s">
        <v>35</v>
      </c>
    </row>
    <row r="226" spans="1:14">
      <c r="A226" s="4" t="s">
        <v>412</v>
      </c>
      <c r="B226" s="5">
        <v>46226</v>
      </c>
      <c r="C226" s="6" t="s">
        <v>153</v>
      </c>
      <c r="D226" s="6" t="s">
        <v>154</v>
      </c>
      <c r="E226" s="6" t="s">
        <v>29</v>
      </c>
      <c r="F226" s="6" t="s">
        <v>18</v>
      </c>
      <c r="G226" s="6" t="s">
        <v>95</v>
      </c>
      <c r="H226" s="6" t="s">
        <v>96</v>
      </c>
      <c r="I226" s="6" t="s">
        <v>97</v>
      </c>
      <c r="J226" s="7">
        <v>4530</v>
      </c>
      <c r="K226" s="6" t="s">
        <v>22</v>
      </c>
      <c r="L226" s="6" t="s">
        <v>23</v>
      </c>
      <c r="M226" s="6" t="s">
        <v>393</v>
      </c>
      <c r="N226" s="8" t="s">
        <v>42</v>
      </c>
    </row>
    <row r="227" spans="1:14">
      <c r="A227" s="4" t="s">
        <v>413</v>
      </c>
      <c r="B227" s="5">
        <v>46226</v>
      </c>
      <c r="C227" s="6" t="s">
        <v>27</v>
      </c>
      <c r="D227" s="6" t="s">
        <v>28</v>
      </c>
      <c r="E227" s="6" t="s">
        <v>29</v>
      </c>
      <c r="F227" s="6" t="s">
        <v>30</v>
      </c>
      <c r="G227" s="6" t="s">
        <v>39</v>
      </c>
      <c r="H227" s="6" t="s">
        <v>61</v>
      </c>
      <c r="I227" s="6" t="s">
        <v>21</v>
      </c>
      <c r="J227" s="7">
        <v>2890</v>
      </c>
      <c r="K227" s="6" t="s">
        <v>22</v>
      </c>
      <c r="L227" s="6" t="s">
        <v>23</v>
      </c>
      <c r="M227" s="6" t="s">
        <v>393</v>
      </c>
      <c r="N227" s="8" t="s">
        <v>42</v>
      </c>
    </row>
    <row r="228" spans="1:14">
      <c r="A228" s="4" t="s">
        <v>414</v>
      </c>
      <c r="B228" s="5">
        <v>46226</v>
      </c>
      <c r="C228" s="6" t="s">
        <v>182</v>
      </c>
      <c r="D228" s="6" t="s">
        <v>107</v>
      </c>
      <c r="E228" s="6" t="s">
        <v>66</v>
      </c>
      <c r="F228" s="6" t="s">
        <v>46</v>
      </c>
      <c r="G228" s="6" t="s">
        <v>95</v>
      </c>
      <c r="H228" s="6" t="s">
        <v>96</v>
      </c>
      <c r="I228" s="6" t="s">
        <v>5</v>
      </c>
      <c r="J228" s="7">
        <v>31130</v>
      </c>
      <c r="K228" s="6" t="s">
        <v>22</v>
      </c>
      <c r="L228" s="6" t="s">
        <v>23</v>
      </c>
      <c r="M228" s="6" t="s">
        <v>393</v>
      </c>
      <c r="N228" s="8" t="s">
        <v>42</v>
      </c>
    </row>
    <row r="229" spans="1:14">
      <c r="A229" s="4" t="s">
        <v>415</v>
      </c>
      <c r="B229" s="5">
        <v>46228</v>
      </c>
      <c r="C229" s="6" t="s">
        <v>168</v>
      </c>
      <c r="D229" s="6" t="s">
        <v>169</v>
      </c>
      <c r="E229" s="6" t="s">
        <v>17</v>
      </c>
      <c r="F229" s="6" t="s">
        <v>46</v>
      </c>
      <c r="G229" s="6" t="s">
        <v>55</v>
      </c>
      <c r="H229" s="6" t="s">
        <v>56</v>
      </c>
      <c r="I229" s="6" t="s">
        <v>21</v>
      </c>
      <c r="J229" s="7">
        <v>43450</v>
      </c>
      <c r="K229" s="6" t="s">
        <v>57</v>
      </c>
      <c r="L229" s="6" t="s">
        <v>23</v>
      </c>
      <c r="M229" s="6" t="s">
        <v>393</v>
      </c>
      <c r="N229" s="8" t="s">
        <v>90</v>
      </c>
    </row>
    <row r="230" spans="1:14">
      <c r="A230" s="4" t="s">
        <v>416</v>
      </c>
      <c r="B230" s="5">
        <v>46228</v>
      </c>
      <c r="C230" s="6" t="s">
        <v>121</v>
      </c>
      <c r="D230" s="6" t="s">
        <v>122</v>
      </c>
      <c r="E230" s="6" t="s">
        <v>17</v>
      </c>
      <c r="F230" s="6" t="s">
        <v>115</v>
      </c>
      <c r="G230" s="6" t="s">
        <v>19</v>
      </c>
      <c r="H230" s="6" t="s">
        <v>111</v>
      </c>
      <c r="I230" s="6" t="s">
        <v>21</v>
      </c>
      <c r="J230" s="7">
        <v>23000</v>
      </c>
      <c r="K230" s="6" t="s">
        <v>22</v>
      </c>
      <c r="L230" s="6" t="s">
        <v>23</v>
      </c>
      <c r="M230" s="6" t="s">
        <v>393</v>
      </c>
      <c r="N230" s="8" t="s">
        <v>90</v>
      </c>
    </row>
    <row r="231" spans="1:14">
      <c r="A231" s="4" t="s">
        <v>417</v>
      </c>
      <c r="B231" s="5">
        <v>46229</v>
      </c>
      <c r="C231" s="6" t="s">
        <v>160</v>
      </c>
      <c r="D231" s="6" t="s">
        <v>161</v>
      </c>
      <c r="E231" s="6" t="s">
        <v>66</v>
      </c>
      <c r="F231" s="6" t="s">
        <v>18</v>
      </c>
      <c r="G231" s="6" t="s">
        <v>39</v>
      </c>
      <c r="H231" s="6" t="s">
        <v>123</v>
      </c>
      <c r="I231" s="6" t="s">
        <v>33</v>
      </c>
      <c r="J231" s="7">
        <v>7540</v>
      </c>
      <c r="K231" s="6" t="s">
        <v>22</v>
      </c>
      <c r="L231" s="6" t="s">
        <v>23</v>
      </c>
      <c r="M231" s="6" t="s">
        <v>393</v>
      </c>
      <c r="N231" s="8" t="s">
        <v>25</v>
      </c>
    </row>
    <row r="232" spans="1:14">
      <c r="A232" s="4" t="s">
        <v>418</v>
      </c>
      <c r="B232" s="5">
        <v>46230</v>
      </c>
      <c r="C232" s="6" t="s">
        <v>44</v>
      </c>
      <c r="D232" s="6" t="s">
        <v>45</v>
      </c>
      <c r="E232" s="6" t="s">
        <v>17</v>
      </c>
      <c r="F232" s="6" t="s">
        <v>46</v>
      </c>
      <c r="G232" s="6" t="s">
        <v>39</v>
      </c>
      <c r="H232" s="6" t="s">
        <v>123</v>
      </c>
      <c r="I232" s="6" t="s">
        <v>21</v>
      </c>
      <c r="J232" s="7">
        <v>8750</v>
      </c>
      <c r="K232" s="6" t="s">
        <v>22</v>
      </c>
      <c r="L232" s="6" t="s">
        <v>23</v>
      </c>
      <c r="M232" s="6" t="s">
        <v>393</v>
      </c>
      <c r="N232" s="8" t="s">
        <v>70</v>
      </c>
    </row>
    <row r="233" spans="1:14">
      <c r="A233" s="4" t="s">
        <v>419</v>
      </c>
      <c r="B233" s="5">
        <v>46233</v>
      </c>
      <c r="C233" s="6" t="s">
        <v>87</v>
      </c>
      <c r="D233" s="6" t="s">
        <v>88</v>
      </c>
      <c r="E233" s="6" t="s">
        <v>29</v>
      </c>
      <c r="F233" s="6" t="s">
        <v>81</v>
      </c>
      <c r="G233" s="6" t="s">
        <v>72</v>
      </c>
      <c r="H233" s="6" t="s">
        <v>89</v>
      </c>
      <c r="I233" s="6" t="s">
        <v>69</v>
      </c>
      <c r="J233" s="7">
        <v>12220</v>
      </c>
      <c r="K233" s="6" t="s">
        <v>22</v>
      </c>
      <c r="L233" s="6" t="s">
        <v>23</v>
      </c>
      <c r="M233" s="6" t="s">
        <v>393</v>
      </c>
      <c r="N233" s="8" t="s">
        <v>42</v>
      </c>
    </row>
    <row r="234" spans="1:14">
      <c r="A234" s="4" t="s">
        <v>420</v>
      </c>
      <c r="B234" s="5">
        <v>46234</v>
      </c>
      <c r="C234" s="6" t="s">
        <v>129</v>
      </c>
      <c r="D234" s="6" t="s">
        <v>130</v>
      </c>
      <c r="E234" s="6" t="s">
        <v>29</v>
      </c>
      <c r="F234" s="6" t="s">
        <v>46</v>
      </c>
      <c r="G234" s="6" t="s">
        <v>95</v>
      </c>
      <c r="H234" s="6" t="s">
        <v>96</v>
      </c>
      <c r="I234" s="6" t="s">
        <v>5</v>
      </c>
      <c r="J234" s="7">
        <v>25090</v>
      </c>
      <c r="K234" s="6" t="s">
        <v>22</v>
      </c>
      <c r="L234" s="6" t="s">
        <v>23</v>
      </c>
      <c r="M234" s="6" t="s">
        <v>393</v>
      </c>
      <c r="N234" s="8" t="s">
        <v>51</v>
      </c>
    </row>
    <row r="235" spans="1:14">
      <c r="A235" s="4" t="s">
        <v>421</v>
      </c>
      <c r="B235" s="5">
        <v>46235</v>
      </c>
      <c r="C235" s="6" t="s">
        <v>99</v>
      </c>
      <c r="D235" s="6" t="s">
        <v>100</v>
      </c>
      <c r="E235" s="6" t="s">
        <v>29</v>
      </c>
      <c r="F235" s="6" t="s">
        <v>30</v>
      </c>
      <c r="G235" s="6" t="s">
        <v>31</v>
      </c>
      <c r="H235" s="6" t="s">
        <v>32</v>
      </c>
      <c r="I235" s="6" t="s">
        <v>33</v>
      </c>
      <c r="J235" s="7">
        <v>25130</v>
      </c>
      <c r="K235" s="6" t="s">
        <v>22</v>
      </c>
      <c r="L235" s="6" t="s">
        <v>23</v>
      </c>
      <c r="M235" s="6" t="s">
        <v>422</v>
      </c>
      <c r="N235" s="8" t="s">
        <v>90</v>
      </c>
    </row>
    <row r="236" spans="1:14">
      <c r="A236" s="4" t="s">
        <v>423</v>
      </c>
      <c r="B236" s="5">
        <v>46235</v>
      </c>
      <c r="C236" s="6" t="s">
        <v>226</v>
      </c>
      <c r="D236" s="6" t="s">
        <v>227</v>
      </c>
      <c r="E236" s="6" t="s">
        <v>29</v>
      </c>
      <c r="F236" s="6" t="s">
        <v>81</v>
      </c>
      <c r="G236" s="6" t="s">
        <v>39</v>
      </c>
      <c r="H236" s="6" t="s">
        <v>61</v>
      </c>
      <c r="I236" s="6" t="s">
        <v>33</v>
      </c>
      <c r="J236" s="7">
        <v>8160</v>
      </c>
      <c r="K236" s="6" t="s">
        <v>22</v>
      </c>
      <c r="L236" s="6" t="s">
        <v>23</v>
      </c>
      <c r="M236" s="6" t="s">
        <v>422</v>
      </c>
      <c r="N236" s="8" t="s">
        <v>90</v>
      </c>
    </row>
    <row r="237" spans="1:14">
      <c r="A237" s="4" t="s">
        <v>424</v>
      </c>
      <c r="B237" s="5">
        <v>46235</v>
      </c>
      <c r="C237" s="6" t="s">
        <v>235</v>
      </c>
      <c r="D237" s="6" t="s">
        <v>236</v>
      </c>
      <c r="E237" s="6" t="s">
        <v>29</v>
      </c>
      <c r="F237" s="6" t="s">
        <v>115</v>
      </c>
      <c r="G237" s="6" t="s">
        <v>55</v>
      </c>
      <c r="H237" s="6" t="s">
        <v>158</v>
      </c>
      <c r="I237" s="6" t="s">
        <v>21</v>
      </c>
      <c r="J237" s="7">
        <v>141160</v>
      </c>
      <c r="K237" s="6" t="s">
        <v>57</v>
      </c>
      <c r="L237" s="6" t="s">
        <v>23</v>
      </c>
      <c r="M237" s="6" t="s">
        <v>422</v>
      </c>
      <c r="N237" s="8" t="s">
        <v>90</v>
      </c>
    </row>
    <row r="238" spans="1:14">
      <c r="A238" s="4" t="s">
        <v>425</v>
      </c>
      <c r="B238" s="5">
        <v>46235</v>
      </c>
      <c r="C238" s="6" t="s">
        <v>126</v>
      </c>
      <c r="D238" s="6" t="s">
        <v>127</v>
      </c>
      <c r="E238" s="6" t="s">
        <v>66</v>
      </c>
      <c r="F238" s="6" t="s">
        <v>50</v>
      </c>
      <c r="G238" s="6" t="s">
        <v>55</v>
      </c>
      <c r="H238" s="6" t="s">
        <v>56</v>
      </c>
      <c r="I238" s="6" t="s">
        <v>33</v>
      </c>
      <c r="J238" s="7">
        <v>41960</v>
      </c>
      <c r="K238" s="6" t="s">
        <v>57</v>
      </c>
      <c r="L238" s="6" t="s">
        <v>34</v>
      </c>
      <c r="M238" s="6" t="s">
        <v>422</v>
      </c>
      <c r="N238" s="8" t="s">
        <v>90</v>
      </c>
    </row>
    <row r="239" spans="1:14">
      <c r="A239" s="4" t="s">
        <v>426</v>
      </c>
      <c r="B239" s="5">
        <v>46236</v>
      </c>
      <c r="C239" s="6" t="s">
        <v>75</v>
      </c>
      <c r="D239" s="6" t="s">
        <v>76</v>
      </c>
      <c r="E239" s="6" t="s">
        <v>17</v>
      </c>
      <c r="F239" s="6" t="s">
        <v>46</v>
      </c>
      <c r="G239" s="6" t="s">
        <v>72</v>
      </c>
      <c r="H239" s="6" t="s">
        <v>282</v>
      </c>
      <c r="I239" s="6" t="s">
        <v>69</v>
      </c>
      <c r="J239" s="7">
        <v>3620</v>
      </c>
      <c r="K239" s="6" t="s">
        <v>22</v>
      </c>
      <c r="L239" s="6" t="s">
        <v>23</v>
      </c>
      <c r="M239" s="6" t="s">
        <v>422</v>
      </c>
      <c r="N239" s="8" t="s">
        <v>25</v>
      </c>
    </row>
    <row r="240" spans="1:14">
      <c r="A240" s="4" t="s">
        <v>427</v>
      </c>
      <c r="B240" s="5">
        <v>46236</v>
      </c>
      <c r="C240" s="6" t="s">
        <v>93</v>
      </c>
      <c r="D240" s="6" t="s">
        <v>94</v>
      </c>
      <c r="E240" s="6" t="s">
        <v>17</v>
      </c>
      <c r="F240" s="6" t="s">
        <v>67</v>
      </c>
      <c r="G240" s="6" t="s">
        <v>55</v>
      </c>
      <c r="H240" s="6" t="s">
        <v>56</v>
      </c>
      <c r="I240" s="6" t="s">
        <v>21</v>
      </c>
      <c r="J240" s="7">
        <v>29920</v>
      </c>
      <c r="K240" s="6" t="s">
        <v>57</v>
      </c>
      <c r="L240" s="6" t="s">
        <v>34</v>
      </c>
      <c r="M240" s="6" t="s">
        <v>422</v>
      </c>
      <c r="N240" s="8" t="s">
        <v>25</v>
      </c>
    </row>
    <row r="241" spans="1:14">
      <c r="A241" s="4" t="s">
        <v>428</v>
      </c>
      <c r="B241" s="5">
        <v>46236</v>
      </c>
      <c r="C241" s="6" t="s">
        <v>188</v>
      </c>
      <c r="D241" s="6" t="s">
        <v>189</v>
      </c>
      <c r="E241" s="6" t="s">
        <v>17</v>
      </c>
      <c r="F241" s="6" t="s">
        <v>50</v>
      </c>
      <c r="G241" s="6" t="s">
        <v>55</v>
      </c>
      <c r="H241" s="6" t="s">
        <v>158</v>
      </c>
      <c r="I241" s="6" t="s">
        <v>33</v>
      </c>
      <c r="J241" s="7">
        <v>73660</v>
      </c>
      <c r="K241" s="6" t="s">
        <v>57</v>
      </c>
      <c r="L241" s="6" t="s">
        <v>23</v>
      </c>
      <c r="M241" s="6" t="s">
        <v>422</v>
      </c>
      <c r="N241" s="8" t="s">
        <v>25</v>
      </c>
    </row>
    <row r="242" spans="1:14">
      <c r="A242" s="4" t="s">
        <v>429</v>
      </c>
      <c r="B242" s="5">
        <v>46237</v>
      </c>
      <c r="C242" s="6" t="s">
        <v>83</v>
      </c>
      <c r="D242" s="6" t="s">
        <v>84</v>
      </c>
      <c r="E242" s="6" t="s">
        <v>29</v>
      </c>
      <c r="F242" s="6" t="s">
        <v>18</v>
      </c>
      <c r="G242" s="6" t="s">
        <v>31</v>
      </c>
      <c r="H242" s="6" t="s">
        <v>32</v>
      </c>
      <c r="I242" s="6" t="s">
        <v>21</v>
      </c>
      <c r="J242" s="7">
        <v>41630</v>
      </c>
      <c r="K242" s="6" t="s">
        <v>22</v>
      </c>
      <c r="L242" s="6" t="s">
        <v>23</v>
      </c>
      <c r="M242" s="6" t="s">
        <v>422</v>
      </c>
      <c r="N242" s="8" t="s">
        <v>70</v>
      </c>
    </row>
    <row r="243" spans="1:14">
      <c r="A243" s="4" t="s">
        <v>430</v>
      </c>
      <c r="B243" s="5">
        <v>46238</v>
      </c>
      <c r="C243" s="6" t="s">
        <v>59</v>
      </c>
      <c r="D243" s="6" t="s">
        <v>60</v>
      </c>
      <c r="E243" s="6" t="s">
        <v>17</v>
      </c>
      <c r="F243" s="6" t="s">
        <v>18</v>
      </c>
      <c r="G243" s="6" t="s">
        <v>39</v>
      </c>
      <c r="H243" s="6" t="s">
        <v>123</v>
      </c>
      <c r="I243" s="6" t="s">
        <v>33</v>
      </c>
      <c r="J243" s="7">
        <v>28390</v>
      </c>
      <c r="K243" s="6" t="s">
        <v>22</v>
      </c>
      <c r="L243" s="6" t="s">
        <v>23</v>
      </c>
      <c r="M243" s="6" t="s">
        <v>422</v>
      </c>
      <c r="N243" s="8" t="s">
        <v>104</v>
      </c>
    </row>
    <row r="244" spans="1:14">
      <c r="A244" s="4" t="s">
        <v>431</v>
      </c>
      <c r="B244" s="5">
        <v>46238</v>
      </c>
      <c r="C244" s="6" t="s">
        <v>184</v>
      </c>
      <c r="D244" s="6" t="s">
        <v>185</v>
      </c>
      <c r="E244" s="6" t="s">
        <v>29</v>
      </c>
      <c r="F244" s="6" t="s">
        <v>186</v>
      </c>
      <c r="G244" s="6" t="s">
        <v>39</v>
      </c>
      <c r="H244" s="6" t="s">
        <v>61</v>
      </c>
      <c r="I244" s="6" t="s">
        <v>21</v>
      </c>
      <c r="J244" s="7">
        <v>780</v>
      </c>
      <c r="K244" s="6" t="s">
        <v>22</v>
      </c>
      <c r="L244" s="6" t="s">
        <v>23</v>
      </c>
      <c r="M244" s="6" t="s">
        <v>422</v>
      </c>
      <c r="N244" s="8" t="s">
        <v>104</v>
      </c>
    </row>
    <row r="245" spans="1:14">
      <c r="A245" s="4" t="s">
        <v>432</v>
      </c>
      <c r="B245" s="5">
        <v>46239</v>
      </c>
      <c r="C245" s="6" t="s">
        <v>117</v>
      </c>
      <c r="D245" s="6" t="s">
        <v>118</v>
      </c>
      <c r="E245" s="6" t="s">
        <v>29</v>
      </c>
      <c r="F245" s="6" t="s">
        <v>81</v>
      </c>
      <c r="G245" s="6" t="s">
        <v>39</v>
      </c>
      <c r="H245" s="6" t="s">
        <v>61</v>
      </c>
      <c r="I245" s="6" t="s">
        <v>41</v>
      </c>
      <c r="J245" s="7">
        <v>29060</v>
      </c>
      <c r="K245" s="6" t="s">
        <v>22</v>
      </c>
      <c r="L245" s="6" t="s">
        <v>23</v>
      </c>
      <c r="M245" s="6" t="s">
        <v>422</v>
      </c>
      <c r="N245" s="8" t="s">
        <v>35</v>
      </c>
    </row>
    <row r="246" spans="1:14">
      <c r="A246" s="4" t="s">
        <v>433</v>
      </c>
      <c r="B246" s="5">
        <v>46239</v>
      </c>
      <c r="C246" s="6" t="s">
        <v>247</v>
      </c>
      <c r="D246" s="6" t="s">
        <v>248</v>
      </c>
      <c r="E246" s="6" t="s">
        <v>17</v>
      </c>
      <c r="F246" s="6" t="s">
        <v>50</v>
      </c>
      <c r="G246" s="6" t="s">
        <v>31</v>
      </c>
      <c r="H246" s="6" t="s">
        <v>101</v>
      </c>
      <c r="I246" s="6" t="s">
        <v>33</v>
      </c>
      <c r="J246" s="7">
        <v>31580</v>
      </c>
      <c r="K246" s="6" t="s">
        <v>22</v>
      </c>
      <c r="L246" s="6" t="s">
        <v>34</v>
      </c>
      <c r="M246" s="6" t="s">
        <v>422</v>
      </c>
      <c r="N246" s="8" t="s">
        <v>35</v>
      </c>
    </row>
    <row r="247" spans="1:14">
      <c r="A247" s="4" t="s">
        <v>434</v>
      </c>
      <c r="B247" s="5">
        <v>46240</v>
      </c>
      <c r="C247" s="6" t="s">
        <v>198</v>
      </c>
      <c r="D247" s="6" t="s">
        <v>88</v>
      </c>
      <c r="E247" s="6" t="s">
        <v>66</v>
      </c>
      <c r="F247" s="6" t="s">
        <v>81</v>
      </c>
      <c r="G247" s="6" t="s">
        <v>55</v>
      </c>
      <c r="H247" s="6" t="s">
        <v>214</v>
      </c>
      <c r="I247" s="6" t="s">
        <v>5</v>
      </c>
      <c r="J247" s="7">
        <v>72360</v>
      </c>
      <c r="K247" s="6" t="s">
        <v>57</v>
      </c>
      <c r="L247" s="6" t="s">
        <v>23</v>
      </c>
      <c r="M247" s="6" t="s">
        <v>422</v>
      </c>
      <c r="N247" s="8" t="s">
        <v>42</v>
      </c>
    </row>
    <row r="248" spans="1:14">
      <c r="A248" s="4" t="s">
        <v>435</v>
      </c>
      <c r="B248" s="5">
        <v>46240</v>
      </c>
      <c r="C248" s="6" t="s">
        <v>37</v>
      </c>
      <c r="D248" s="6" t="s">
        <v>38</v>
      </c>
      <c r="E248" s="6" t="s">
        <v>29</v>
      </c>
      <c r="F248" s="6" t="s">
        <v>18</v>
      </c>
      <c r="G248" s="6" t="s">
        <v>31</v>
      </c>
      <c r="H248" s="6" t="s">
        <v>144</v>
      </c>
      <c r="I248" s="6" t="s">
        <v>21</v>
      </c>
      <c r="J248" s="7">
        <v>55000</v>
      </c>
      <c r="K248" s="6" t="s">
        <v>22</v>
      </c>
      <c r="L248" s="6" t="s">
        <v>23</v>
      </c>
      <c r="M248" s="6" t="s">
        <v>422</v>
      </c>
      <c r="N248" s="8" t="s">
        <v>42</v>
      </c>
    </row>
    <row r="249" spans="1:14">
      <c r="A249" s="4" t="s">
        <v>436</v>
      </c>
      <c r="B249" s="5">
        <v>46241</v>
      </c>
      <c r="C249" s="6" t="s">
        <v>44</v>
      </c>
      <c r="D249" s="6" t="s">
        <v>45</v>
      </c>
      <c r="E249" s="6" t="s">
        <v>17</v>
      </c>
      <c r="F249" s="6" t="s">
        <v>46</v>
      </c>
      <c r="G249" s="6" t="s">
        <v>55</v>
      </c>
      <c r="H249" s="6" t="s">
        <v>158</v>
      </c>
      <c r="I249" s="6" t="s">
        <v>33</v>
      </c>
      <c r="J249" s="7">
        <v>136070</v>
      </c>
      <c r="K249" s="6" t="s">
        <v>57</v>
      </c>
      <c r="L249" s="6" t="s">
        <v>23</v>
      </c>
      <c r="M249" s="6" t="s">
        <v>422</v>
      </c>
      <c r="N249" s="8" t="s">
        <v>51</v>
      </c>
    </row>
    <row r="250" spans="1:14">
      <c r="A250" s="4" t="s">
        <v>437</v>
      </c>
      <c r="B250" s="5">
        <v>46241</v>
      </c>
      <c r="C250" s="6" t="s">
        <v>247</v>
      </c>
      <c r="D250" s="6" t="s">
        <v>248</v>
      </c>
      <c r="E250" s="6" t="s">
        <v>17</v>
      </c>
      <c r="F250" s="6" t="s">
        <v>50</v>
      </c>
      <c r="G250" s="6" t="s">
        <v>95</v>
      </c>
      <c r="H250" s="6" t="s">
        <v>96</v>
      </c>
      <c r="I250" s="6" t="s">
        <v>5</v>
      </c>
      <c r="J250" s="7">
        <v>26940</v>
      </c>
      <c r="K250" s="6" t="s">
        <v>22</v>
      </c>
      <c r="L250" s="6" t="s">
        <v>23</v>
      </c>
      <c r="M250" s="6" t="s">
        <v>422</v>
      </c>
      <c r="N250" s="8" t="s">
        <v>51</v>
      </c>
    </row>
    <row r="251" spans="1:14">
      <c r="A251" s="4" t="s">
        <v>438</v>
      </c>
      <c r="B251" s="5">
        <v>46244</v>
      </c>
      <c r="C251" s="6" t="s">
        <v>247</v>
      </c>
      <c r="D251" s="6" t="s">
        <v>248</v>
      </c>
      <c r="E251" s="6" t="s">
        <v>17</v>
      </c>
      <c r="F251" s="6" t="s">
        <v>50</v>
      </c>
      <c r="G251" s="6" t="s">
        <v>39</v>
      </c>
      <c r="H251" s="6" t="s">
        <v>61</v>
      </c>
      <c r="I251" s="6" t="s">
        <v>41</v>
      </c>
      <c r="J251" s="7">
        <v>24980</v>
      </c>
      <c r="K251" s="6" t="s">
        <v>22</v>
      </c>
      <c r="L251" s="6" t="s">
        <v>23</v>
      </c>
      <c r="M251" s="6" t="s">
        <v>422</v>
      </c>
      <c r="N251" s="8" t="s">
        <v>70</v>
      </c>
    </row>
    <row r="252" spans="1:14">
      <c r="A252" s="4" t="s">
        <v>439</v>
      </c>
      <c r="B252" s="5">
        <v>46246</v>
      </c>
      <c r="C252" s="6" t="s">
        <v>243</v>
      </c>
      <c r="D252" s="6" t="s">
        <v>244</v>
      </c>
      <c r="E252" s="6" t="s">
        <v>29</v>
      </c>
      <c r="F252" s="6" t="s">
        <v>81</v>
      </c>
      <c r="G252" s="6" t="s">
        <v>31</v>
      </c>
      <c r="H252" s="6" t="s">
        <v>32</v>
      </c>
      <c r="I252" s="6" t="s">
        <v>21</v>
      </c>
      <c r="J252" s="7">
        <v>86350</v>
      </c>
      <c r="K252" s="6" t="s">
        <v>22</v>
      </c>
      <c r="L252" s="6" t="s">
        <v>23</v>
      </c>
      <c r="M252" s="6" t="s">
        <v>422</v>
      </c>
      <c r="N252" s="8" t="s">
        <v>35</v>
      </c>
    </row>
    <row r="253" spans="1:14">
      <c r="A253" s="4" t="s">
        <v>440</v>
      </c>
      <c r="B253" s="5">
        <v>46247</v>
      </c>
      <c r="C253" s="6" t="s">
        <v>99</v>
      </c>
      <c r="D253" s="6" t="s">
        <v>100</v>
      </c>
      <c r="E253" s="6" t="s">
        <v>29</v>
      </c>
      <c r="F253" s="6" t="s">
        <v>30</v>
      </c>
      <c r="G253" s="6" t="s">
        <v>31</v>
      </c>
      <c r="H253" s="6" t="s">
        <v>144</v>
      </c>
      <c r="I253" s="6" t="s">
        <v>33</v>
      </c>
      <c r="J253" s="7">
        <v>61560</v>
      </c>
      <c r="K253" s="6" t="s">
        <v>22</v>
      </c>
      <c r="L253" s="6" t="s">
        <v>62</v>
      </c>
      <c r="M253" s="6" t="s">
        <v>422</v>
      </c>
      <c r="N253" s="8" t="s">
        <v>42</v>
      </c>
    </row>
    <row r="254" spans="1:14">
      <c r="A254" s="4" t="s">
        <v>441</v>
      </c>
      <c r="B254" s="5">
        <v>46247</v>
      </c>
      <c r="C254" s="6" t="s">
        <v>160</v>
      </c>
      <c r="D254" s="6" t="s">
        <v>161</v>
      </c>
      <c r="E254" s="6" t="s">
        <v>66</v>
      </c>
      <c r="F254" s="6" t="s">
        <v>18</v>
      </c>
      <c r="G254" s="6" t="s">
        <v>31</v>
      </c>
      <c r="H254" s="6" t="s">
        <v>32</v>
      </c>
      <c r="I254" s="6" t="s">
        <v>33</v>
      </c>
      <c r="J254" s="7">
        <v>70270</v>
      </c>
      <c r="K254" s="6" t="s">
        <v>22</v>
      </c>
      <c r="L254" s="6" t="s">
        <v>34</v>
      </c>
      <c r="M254" s="6" t="s">
        <v>422</v>
      </c>
      <c r="N254" s="8" t="s">
        <v>42</v>
      </c>
    </row>
    <row r="255" spans="1:14">
      <c r="A255" s="4" t="s">
        <v>442</v>
      </c>
      <c r="B255" s="5">
        <v>46247</v>
      </c>
      <c r="C255" s="6" t="s">
        <v>37</v>
      </c>
      <c r="D255" s="6" t="s">
        <v>38</v>
      </c>
      <c r="E255" s="6" t="s">
        <v>29</v>
      </c>
      <c r="F255" s="6" t="s">
        <v>18</v>
      </c>
      <c r="G255" s="6" t="s">
        <v>72</v>
      </c>
      <c r="H255" s="6" t="s">
        <v>89</v>
      </c>
      <c r="I255" s="6" t="s">
        <v>33</v>
      </c>
      <c r="J255" s="7">
        <v>11100</v>
      </c>
      <c r="K255" s="6" t="s">
        <v>22</v>
      </c>
      <c r="L255" s="6" t="s">
        <v>23</v>
      </c>
      <c r="M255" s="6" t="s">
        <v>422</v>
      </c>
      <c r="N255" s="8" t="s">
        <v>42</v>
      </c>
    </row>
    <row r="256" spans="1:14">
      <c r="A256" s="4" t="s">
        <v>443</v>
      </c>
      <c r="B256" s="5">
        <v>46247</v>
      </c>
      <c r="C256" s="6" t="s">
        <v>133</v>
      </c>
      <c r="D256" s="6" t="s">
        <v>134</v>
      </c>
      <c r="E256" s="6" t="s">
        <v>17</v>
      </c>
      <c r="F256" s="6" t="s">
        <v>115</v>
      </c>
      <c r="G256" s="6" t="s">
        <v>31</v>
      </c>
      <c r="H256" s="6" t="s">
        <v>101</v>
      </c>
      <c r="I256" s="6" t="s">
        <v>69</v>
      </c>
      <c r="J256" s="7">
        <v>72240</v>
      </c>
      <c r="K256" s="6" t="s">
        <v>22</v>
      </c>
      <c r="L256" s="6" t="s">
        <v>34</v>
      </c>
      <c r="M256" s="6" t="s">
        <v>422</v>
      </c>
      <c r="N256" s="8" t="s">
        <v>42</v>
      </c>
    </row>
    <row r="257" spans="1:14">
      <c r="A257" s="4" t="s">
        <v>444</v>
      </c>
      <c r="B257" s="5">
        <v>46249</v>
      </c>
      <c r="C257" s="6" t="s">
        <v>53</v>
      </c>
      <c r="D257" s="6" t="s">
        <v>54</v>
      </c>
      <c r="E257" s="6" t="s">
        <v>29</v>
      </c>
      <c r="F257" s="6" t="s">
        <v>46</v>
      </c>
      <c r="G257" s="6" t="s">
        <v>39</v>
      </c>
      <c r="H257" s="6" t="s">
        <v>103</v>
      </c>
      <c r="I257" s="6" t="s">
        <v>33</v>
      </c>
      <c r="J257" s="7">
        <v>12920</v>
      </c>
      <c r="K257" s="6" t="s">
        <v>22</v>
      </c>
      <c r="L257" s="6" t="s">
        <v>23</v>
      </c>
      <c r="M257" s="6" t="s">
        <v>422</v>
      </c>
      <c r="N257" s="8" t="s">
        <v>90</v>
      </c>
    </row>
    <row r="258" spans="1:14">
      <c r="A258" s="4" t="s">
        <v>445</v>
      </c>
      <c r="B258" s="5">
        <v>46249</v>
      </c>
      <c r="C258" s="6" t="s">
        <v>64</v>
      </c>
      <c r="D258" s="6" t="s">
        <v>65</v>
      </c>
      <c r="E258" s="6" t="s">
        <v>66</v>
      </c>
      <c r="F258" s="6" t="s">
        <v>67</v>
      </c>
      <c r="G258" s="6" t="s">
        <v>39</v>
      </c>
      <c r="H258" s="6" t="s">
        <v>123</v>
      </c>
      <c r="I258" s="6" t="s">
        <v>21</v>
      </c>
      <c r="J258" s="7">
        <v>9300</v>
      </c>
      <c r="K258" s="6" t="s">
        <v>22</v>
      </c>
      <c r="L258" s="6" t="s">
        <v>23</v>
      </c>
      <c r="M258" s="6" t="s">
        <v>422</v>
      </c>
      <c r="N258" s="8" t="s">
        <v>90</v>
      </c>
    </row>
    <row r="259" spans="1:14">
      <c r="A259" s="4" t="s">
        <v>446</v>
      </c>
      <c r="B259" s="5">
        <v>46252</v>
      </c>
      <c r="C259" s="6" t="s">
        <v>198</v>
      </c>
      <c r="D259" s="6" t="s">
        <v>88</v>
      </c>
      <c r="E259" s="6" t="s">
        <v>66</v>
      </c>
      <c r="F259" s="6" t="s">
        <v>81</v>
      </c>
      <c r="G259" s="6" t="s">
        <v>31</v>
      </c>
      <c r="H259" s="6" t="s">
        <v>68</v>
      </c>
      <c r="I259" s="6" t="s">
        <v>33</v>
      </c>
      <c r="J259" s="7">
        <v>96590</v>
      </c>
      <c r="K259" s="6" t="s">
        <v>22</v>
      </c>
      <c r="L259" s="6" t="s">
        <v>23</v>
      </c>
      <c r="M259" s="6" t="s">
        <v>422</v>
      </c>
      <c r="N259" s="8" t="s">
        <v>104</v>
      </c>
    </row>
    <row r="260" spans="1:14">
      <c r="A260" s="4" t="s">
        <v>447</v>
      </c>
      <c r="B260" s="5">
        <v>46252</v>
      </c>
      <c r="C260" s="6" t="s">
        <v>53</v>
      </c>
      <c r="D260" s="6" t="s">
        <v>54</v>
      </c>
      <c r="E260" s="6" t="s">
        <v>29</v>
      </c>
      <c r="F260" s="6" t="s">
        <v>46</v>
      </c>
      <c r="G260" s="6" t="s">
        <v>55</v>
      </c>
      <c r="H260" s="6" t="s">
        <v>56</v>
      </c>
      <c r="I260" s="6" t="s">
        <v>21</v>
      </c>
      <c r="J260" s="7">
        <v>36270</v>
      </c>
      <c r="K260" s="6" t="s">
        <v>57</v>
      </c>
      <c r="L260" s="6" t="s">
        <v>23</v>
      </c>
      <c r="M260" s="6" t="s">
        <v>422</v>
      </c>
      <c r="N260" s="8" t="s">
        <v>104</v>
      </c>
    </row>
    <row r="261" spans="1:14">
      <c r="A261" s="4" t="s">
        <v>448</v>
      </c>
      <c r="B261" s="5">
        <v>46253</v>
      </c>
      <c r="C261" s="6" t="s">
        <v>182</v>
      </c>
      <c r="D261" s="6" t="s">
        <v>107</v>
      </c>
      <c r="E261" s="6" t="s">
        <v>66</v>
      </c>
      <c r="F261" s="6" t="s">
        <v>46</v>
      </c>
      <c r="G261" s="6" t="s">
        <v>39</v>
      </c>
      <c r="H261" s="6" t="s">
        <v>123</v>
      </c>
      <c r="I261" s="6" t="s">
        <v>33</v>
      </c>
      <c r="J261" s="7">
        <v>5810</v>
      </c>
      <c r="K261" s="6" t="s">
        <v>22</v>
      </c>
      <c r="L261" s="6" t="s">
        <v>23</v>
      </c>
      <c r="M261" s="6" t="s">
        <v>422</v>
      </c>
      <c r="N261" s="8" t="s">
        <v>35</v>
      </c>
    </row>
    <row r="262" spans="1:14">
      <c r="A262" s="4" t="s">
        <v>449</v>
      </c>
      <c r="B262" s="5">
        <v>46253</v>
      </c>
      <c r="C262" s="6" t="s">
        <v>450</v>
      </c>
      <c r="D262" s="6" t="s">
        <v>451</v>
      </c>
      <c r="E262" s="6" t="s">
        <v>29</v>
      </c>
      <c r="F262" s="6" t="s">
        <v>186</v>
      </c>
      <c r="G262" s="6" t="s">
        <v>31</v>
      </c>
      <c r="H262" s="6" t="s">
        <v>32</v>
      </c>
      <c r="I262" s="6" t="s">
        <v>21</v>
      </c>
      <c r="J262" s="7">
        <v>57820</v>
      </c>
      <c r="K262" s="6" t="s">
        <v>22</v>
      </c>
      <c r="L262" s="6" t="s">
        <v>23</v>
      </c>
      <c r="M262" s="6" t="s">
        <v>422</v>
      </c>
      <c r="N262" s="8" t="s">
        <v>35</v>
      </c>
    </row>
    <row r="263" spans="1:14">
      <c r="A263" s="4" t="s">
        <v>452</v>
      </c>
      <c r="B263" s="5">
        <v>46254</v>
      </c>
      <c r="C263" s="6" t="s">
        <v>133</v>
      </c>
      <c r="D263" s="6" t="s">
        <v>134</v>
      </c>
      <c r="E263" s="6" t="s">
        <v>17</v>
      </c>
      <c r="F263" s="6" t="s">
        <v>115</v>
      </c>
      <c r="G263" s="6" t="s">
        <v>55</v>
      </c>
      <c r="H263" s="6" t="s">
        <v>214</v>
      </c>
      <c r="I263" s="6" t="s">
        <v>97</v>
      </c>
      <c r="J263" s="7">
        <v>98480</v>
      </c>
      <c r="K263" s="6" t="s">
        <v>57</v>
      </c>
      <c r="L263" s="6" t="s">
        <v>62</v>
      </c>
      <c r="M263" s="6" t="s">
        <v>422</v>
      </c>
      <c r="N263" s="8" t="s">
        <v>42</v>
      </c>
    </row>
    <row r="264" spans="1:14">
      <c r="A264" s="4" t="s">
        <v>453</v>
      </c>
      <c r="B264" s="5">
        <v>46256</v>
      </c>
      <c r="C264" s="6" t="s">
        <v>171</v>
      </c>
      <c r="D264" s="6" t="s">
        <v>172</v>
      </c>
      <c r="E264" s="6" t="s">
        <v>66</v>
      </c>
      <c r="F264" s="6" t="s">
        <v>81</v>
      </c>
      <c r="G264" s="6" t="s">
        <v>39</v>
      </c>
      <c r="H264" s="6" t="s">
        <v>61</v>
      </c>
      <c r="I264" s="6" t="s">
        <v>33</v>
      </c>
      <c r="J264" s="7">
        <v>16030</v>
      </c>
      <c r="K264" s="6" t="s">
        <v>22</v>
      </c>
      <c r="L264" s="6" t="s">
        <v>23</v>
      </c>
      <c r="M264" s="6" t="s">
        <v>422</v>
      </c>
      <c r="N264" s="8" t="s">
        <v>90</v>
      </c>
    </row>
    <row r="265" spans="1:14">
      <c r="A265" s="4" t="s">
        <v>454</v>
      </c>
      <c r="B265" s="5">
        <v>46256</v>
      </c>
      <c r="C265" s="6" t="s">
        <v>351</v>
      </c>
      <c r="D265" s="6" t="s">
        <v>352</v>
      </c>
      <c r="E265" s="6" t="s">
        <v>29</v>
      </c>
      <c r="F265" s="6" t="s">
        <v>115</v>
      </c>
      <c r="G265" s="6" t="s">
        <v>95</v>
      </c>
      <c r="H265" s="6" t="s">
        <v>96</v>
      </c>
      <c r="I265" s="6" t="s">
        <v>97</v>
      </c>
      <c r="J265" s="7">
        <v>39240</v>
      </c>
      <c r="K265" s="6" t="s">
        <v>22</v>
      </c>
      <c r="L265" s="6" t="s">
        <v>23</v>
      </c>
      <c r="M265" s="6" t="s">
        <v>422</v>
      </c>
      <c r="N265" s="8" t="s">
        <v>90</v>
      </c>
    </row>
    <row r="266" spans="1:14">
      <c r="A266" s="4" t="s">
        <v>455</v>
      </c>
      <c r="B266" s="5">
        <v>46261</v>
      </c>
      <c r="C266" s="6" t="s">
        <v>262</v>
      </c>
      <c r="D266" s="6" t="s">
        <v>263</v>
      </c>
      <c r="E266" s="6" t="s">
        <v>66</v>
      </c>
      <c r="F266" s="6" t="s">
        <v>18</v>
      </c>
      <c r="G266" s="6" t="s">
        <v>39</v>
      </c>
      <c r="H266" s="6" t="s">
        <v>85</v>
      </c>
      <c r="I266" s="6" t="s">
        <v>33</v>
      </c>
      <c r="J266" s="7">
        <v>8200</v>
      </c>
      <c r="K266" s="6" t="s">
        <v>22</v>
      </c>
      <c r="L266" s="6" t="s">
        <v>23</v>
      </c>
      <c r="M266" s="6" t="s">
        <v>422</v>
      </c>
      <c r="N266" s="8" t="s">
        <v>42</v>
      </c>
    </row>
    <row r="267" spans="1:14">
      <c r="A267" s="4" t="s">
        <v>456</v>
      </c>
      <c r="B267" s="5">
        <v>46264</v>
      </c>
      <c r="C267" s="6" t="s">
        <v>133</v>
      </c>
      <c r="D267" s="6" t="s">
        <v>134</v>
      </c>
      <c r="E267" s="6" t="s">
        <v>17</v>
      </c>
      <c r="F267" s="6" t="s">
        <v>115</v>
      </c>
      <c r="G267" s="6" t="s">
        <v>95</v>
      </c>
      <c r="H267" s="6" t="s">
        <v>96</v>
      </c>
      <c r="I267" s="6" t="s">
        <v>97</v>
      </c>
      <c r="J267" s="7">
        <v>30870</v>
      </c>
      <c r="K267" s="6" t="s">
        <v>22</v>
      </c>
      <c r="L267" s="6" t="s">
        <v>23</v>
      </c>
      <c r="M267" s="6" t="s">
        <v>422</v>
      </c>
      <c r="N267" s="8" t="s">
        <v>25</v>
      </c>
    </row>
    <row r="268" spans="1:14">
      <c r="A268" s="4" t="s">
        <v>457</v>
      </c>
      <c r="B268" s="5">
        <v>46265</v>
      </c>
      <c r="C268" s="6" t="s">
        <v>195</v>
      </c>
      <c r="D268" s="6" t="s">
        <v>196</v>
      </c>
      <c r="E268" s="6" t="s">
        <v>17</v>
      </c>
      <c r="F268" s="6" t="s">
        <v>50</v>
      </c>
      <c r="G268" s="6" t="s">
        <v>31</v>
      </c>
      <c r="H268" s="6" t="s">
        <v>101</v>
      </c>
      <c r="I268" s="6" t="s">
        <v>69</v>
      </c>
      <c r="J268" s="7">
        <v>89420</v>
      </c>
      <c r="K268" s="6" t="s">
        <v>22</v>
      </c>
      <c r="L268" s="6" t="s">
        <v>23</v>
      </c>
      <c r="M268" s="6" t="s">
        <v>422</v>
      </c>
      <c r="N268" s="8" t="s">
        <v>70</v>
      </c>
    </row>
    <row r="269" spans="1:14">
      <c r="A269" s="4" t="s">
        <v>458</v>
      </c>
      <c r="B269" s="5">
        <v>46265</v>
      </c>
      <c r="C269" s="6" t="s">
        <v>184</v>
      </c>
      <c r="D269" s="6" t="s">
        <v>185</v>
      </c>
      <c r="E269" s="6" t="s">
        <v>29</v>
      </c>
      <c r="F269" s="6" t="s">
        <v>186</v>
      </c>
      <c r="G269" s="6" t="s">
        <v>39</v>
      </c>
      <c r="H269" s="6" t="s">
        <v>123</v>
      </c>
      <c r="I269" s="6" t="s">
        <v>33</v>
      </c>
      <c r="J269" s="7">
        <v>17410</v>
      </c>
      <c r="K269" s="6" t="s">
        <v>22</v>
      </c>
      <c r="L269" s="6" t="s">
        <v>23</v>
      </c>
      <c r="M269" s="6" t="s">
        <v>422</v>
      </c>
      <c r="N269" s="8" t="s">
        <v>70</v>
      </c>
    </row>
    <row r="270" spans="1:14">
      <c r="A270" s="4" t="s">
        <v>459</v>
      </c>
      <c r="B270" s="5">
        <v>46266</v>
      </c>
      <c r="C270" s="6" t="s">
        <v>175</v>
      </c>
      <c r="D270" s="6" t="s">
        <v>176</v>
      </c>
      <c r="E270" s="6" t="s">
        <v>29</v>
      </c>
      <c r="F270" s="6" t="s">
        <v>30</v>
      </c>
      <c r="G270" s="6" t="s">
        <v>19</v>
      </c>
      <c r="H270" s="6" t="s">
        <v>20</v>
      </c>
      <c r="I270" s="6" t="s">
        <v>69</v>
      </c>
      <c r="J270" s="7">
        <v>29000</v>
      </c>
      <c r="K270" s="6" t="s">
        <v>22</v>
      </c>
      <c r="L270" s="6" t="s">
        <v>23</v>
      </c>
      <c r="M270" s="6" t="s">
        <v>460</v>
      </c>
      <c r="N270" s="8" t="s">
        <v>104</v>
      </c>
    </row>
    <row r="271" spans="1:14">
      <c r="A271" s="4" t="s">
        <v>461</v>
      </c>
      <c r="B271" s="5">
        <v>46267</v>
      </c>
      <c r="C271" s="6" t="s">
        <v>235</v>
      </c>
      <c r="D271" s="6" t="s">
        <v>236</v>
      </c>
      <c r="E271" s="6" t="s">
        <v>29</v>
      </c>
      <c r="F271" s="6" t="s">
        <v>115</v>
      </c>
      <c r="G271" s="6" t="s">
        <v>95</v>
      </c>
      <c r="H271" s="6" t="s">
        <v>96</v>
      </c>
      <c r="I271" s="6" t="s">
        <v>5</v>
      </c>
      <c r="J271" s="7">
        <v>13190</v>
      </c>
      <c r="K271" s="6" t="s">
        <v>22</v>
      </c>
      <c r="L271" s="6" t="s">
        <v>23</v>
      </c>
      <c r="M271" s="6" t="s">
        <v>460</v>
      </c>
      <c r="N271" s="8" t="s">
        <v>35</v>
      </c>
    </row>
    <row r="272" spans="1:14">
      <c r="A272" s="4" t="s">
        <v>462</v>
      </c>
      <c r="B272" s="5">
        <v>46267</v>
      </c>
      <c r="C272" s="6" t="s">
        <v>79</v>
      </c>
      <c r="D272" s="6" t="s">
        <v>80</v>
      </c>
      <c r="E272" s="6" t="s">
        <v>17</v>
      </c>
      <c r="F272" s="6" t="s">
        <v>81</v>
      </c>
      <c r="G272" s="6" t="s">
        <v>39</v>
      </c>
      <c r="H272" s="6" t="s">
        <v>61</v>
      </c>
      <c r="I272" s="6" t="s">
        <v>41</v>
      </c>
      <c r="J272" s="7">
        <v>7970</v>
      </c>
      <c r="K272" s="6" t="s">
        <v>22</v>
      </c>
      <c r="L272" s="6" t="s">
        <v>23</v>
      </c>
      <c r="M272" s="6" t="s">
        <v>460</v>
      </c>
      <c r="N272" s="8" t="s">
        <v>35</v>
      </c>
    </row>
    <row r="273" spans="1:14">
      <c r="A273" s="4" t="s">
        <v>463</v>
      </c>
      <c r="B273" s="5">
        <v>46267</v>
      </c>
      <c r="C273" s="6" t="s">
        <v>83</v>
      </c>
      <c r="D273" s="6" t="s">
        <v>84</v>
      </c>
      <c r="E273" s="6" t="s">
        <v>29</v>
      </c>
      <c r="F273" s="6" t="s">
        <v>18</v>
      </c>
      <c r="G273" s="6" t="s">
        <v>31</v>
      </c>
      <c r="H273" s="6" t="s">
        <v>32</v>
      </c>
      <c r="I273" s="6" t="s">
        <v>69</v>
      </c>
      <c r="J273" s="7">
        <v>37990</v>
      </c>
      <c r="K273" s="6" t="s">
        <v>22</v>
      </c>
      <c r="L273" s="6" t="s">
        <v>23</v>
      </c>
      <c r="M273" s="6" t="s">
        <v>460</v>
      </c>
      <c r="N273" s="8" t="s">
        <v>35</v>
      </c>
    </row>
    <row r="274" spans="1:14">
      <c r="A274" s="4" t="s">
        <v>464</v>
      </c>
      <c r="B274" s="5">
        <v>46268</v>
      </c>
      <c r="C274" s="6" t="s">
        <v>239</v>
      </c>
      <c r="D274" s="6" t="s">
        <v>240</v>
      </c>
      <c r="E274" s="6" t="s">
        <v>29</v>
      </c>
      <c r="F274" s="6" t="s">
        <v>81</v>
      </c>
      <c r="G274" s="6" t="s">
        <v>95</v>
      </c>
      <c r="H274" s="6" t="s">
        <v>96</v>
      </c>
      <c r="I274" s="6" t="s">
        <v>97</v>
      </c>
      <c r="J274" s="7">
        <v>2990</v>
      </c>
      <c r="K274" s="6" t="s">
        <v>22</v>
      </c>
      <c r="L274" s="6" t="s">
        <v>23</v>
      </c>
      <c r="M274" s="6" t="s">
        <v>460</v>
      </c>
      <c r="N274" s="8" t="s">
        <v>42</v>
      </c>
    </row>
    <row r="275" spans="1:14">
      <c r="A275" s="4" t="s">
        <v>465</v>
      </c>
      <c r="B275" s="5">
        <v>46268</v>
      </c>
      <c r="C275" s="6" t="s">
        <v>146</v>
      </c>
      <c r="D275" s="6" t="s">
        <v>147</v>
      </c>
      <c r="E275" s="6" t="s">
        <v>29</v>
      </c>
      <c r="F275" s="6" t="s">
        <v>50</v>
      </c>
      <c r="G275" s="6" t="s">
        <v>31</v>
      </c>
      <c r="H275" s="6" t="s">
        <v>68</v>
      </c>
      <c r="I275" s="6" t="s">
        <v>69</v>
      </c>
      <c r="J275" s="7">
        <v>62350</v>
      </c>
      <c r="K275" s="6" t="s">
        <v>22</v>
      </c>
      <c r="L275" s="6" t="s">
        <v>23</v>
      </c>
      <c r="M275" s="6" t="s">
        <v>460</v>
      </c>
      <c r="N275" s="8" t="s">
        <v>42</v>
      </c>
    </row>
    <row r="276" spans="1:14">
      <c r="A276" s="4" t="s">
        <v>466</v>
      </c>
      <c r="B276" s="5">
        <v>46268</v>
      </c>
      <c r="C276" s="6" t="s">
        <v>137</v>
      </c>
      <c r="D276" s="6" t="s">
        <v>138</v>
      </c>
      <c r="E276" s="6" t="s">
        <v>17</v>
      </c>
      <c r="F276" s="6" t="s">
        <v>81</v>
      </c>
      <c r="G276" s="6" t="s">
        <v>95</v>
      </c>
      <c r="H276" s="6" t="s">
        <v>96</v>
      </c>
      <c r="I276" s="6" t="s">
        <v>5</v>
      </c>
      <c r="J276" s="7">
        <v>37350</v>
      </c>
      <c r="K276" s="6" t="s">
        <v>22</v>
      </c>
      <c r="L276" s="6" t="s">
        <v>23</v>
      </c>
      <c r="M276" s="6" t="s">
        <v>460</v>
      </c>
      <c r="N276" s="8" t="s">
        <v>42</v>
      </c>
    </row>
    <row r="277" spans="1:14">
      <c r="A277" s="4" t="s">
        <v>467</v>
      </c>
      <c r="B277" s="5">
        <v>46270</v>
      </c>
      <c r="C277" s="6" t="s">
        <v>270</v>
      </c>
      <c r="D277" s="6" t="s">
        <v>271</v>
      </c>
      <c r="E277" s="6" t="s">
        <v>17</v>
      </c>
      <c r="F277" s="6" t="s">
        <v>50</v>
      </c>
      <c r="G277" s="6" t="s">
        <v>39</v>
      </c>
      <c r="H277" s="6" t="s">
        <v>61</v>
      </c>
      <c r="I277" s="6" t="s">
        <v>21</v>
      </c>
      <c r="J277" s="7">
        <v>16830</v>
      </c>
      <c r="K277" s="6" t="s">
        <v>22</v>
      </c>
      <c r="L277" s="6" t="s">
        <v>23</v>
      </c>
      <c r="M277" s="6" t="s">
        <v>460</v>
      </c>
      <c r="N277" s="8" t="s">
        <v>90</v>
      </c>
    </row>
    <row r="278" spans="1:14">
      <c r="A278" s="4" t="s">
        <v>468</v>
      </c>
      <c r="B278" s="5">
        <v>46271</v>
      </c>
      <c r="C278" s="6" t="s">
        <v>270</v>
      </c>
      <c r="D278" s="6" t="s">
        <v>271</v>
      </c>
      <c r="E278" s="6" t="s">
        <v>17</v>
      </c>
      <c r="F278" s="6" t="s">
        <v>50</v>
      </c>
      <c r="G278" s="6" t="s">
        <v>95</v>
      </c>
      <c r="H278" s="6" t="s">
        <v>96</v>
      </c>
      <c r="I278" s="6" t="s">
        <v>97</v>
      </c>
      <c r="J278" s="7">
        <v>6620</v>
      </c>
      <c r="K278" s="6" t="s">
        <v>22</v>
      </c>
      <c r="L278" s="6" t="s">
        <v>23</v>
      </c>
      <c r="M278" s="6" t="s">
        <v>460</v>
      </c>
      <c r="N278" s="8" t="s">
        <v>25</v>
      </c>
    </row>
    <row r="279" spans="1:14">
      <c r="A279" s="4" t="s">
        <v>469</v>
      </c>
      <c r="B279" s="5">
        <v>46273</v>
      </c>
      <c r="C279" s="6" t="s">
        <v>117</v>
      </c>
      <c r="D279" s="6" t="s">
        <v>118</v>
      </c>
      <c r="E279" s="6" t="s">
        <v>29</v>
      </c>
      <c r="F279" s="6" t="s">
        <v>81</v>
      </c>
      <c r="G279" s="6" t="s">
        <v>55</v>
      </c>
      <c r="H279" s="6" t="s">
        <v>56</v>
      </c>
      <c r="I279" s="6" t="s">
        <v>21</v>
      </c>
      <c r="J279" s="7">
        <v>53200</v>
      </c>
      <c r="K279" s="6" t="s">
        <v>57</v>
      </c>
      <c r="L279" s="6" t="s">
        <v>23</v>
      </c>
      <c r="M279" s="6" t="s">
        <v>460</v>
      </c>
      <c r="N279" s="8" t="s">
        <v>104</v>
      </c>
    </row>
    <row r="280" spans="1:14">
      <c r="A280" s="4" t="s">
        <v>470</v>
      </c>
      <c r="B280" s="5">
        <v>46274</v>
      </c>
      <c r="C280" s="6" t="s">
        <v>175</v>
      </c>
      <c r="D280" s="6" t="s">
        <v>176</v>
      </c>
      <c r="E280" s="6" t="s">
        <v>29</v>
      </c>
      <c r="F280" s="6" t="s">
        <v>30</v>
      </c>
      <c r="G280" s="6" t="s">
        <v>19</v>
      </c>
      <c r="H280" s="6" t="s">
        <v>20</v>
      </c>
      <c r="I280" s="6" t="s">
        <v>21</v>
      </c>
      <c r="J280" s="7">
        <v>17000</v>
      </c>
      <c r="K280" s="6" t="s">
        <v>22</v>
      </c>
      <c r="L280" s="6" t="s">
        <v>23</v>
      </c>
      <c r="M280" s="6" t="s">
        <v>460</v>
      </c>
      <c r="N280" s="8" t="s">
        <v>35</v>
      </c>
    </row>
    <row r="281" spans="1:14">
      <c r="A281" s="4" t="s">
        <v>471</v>
      </c>
      <c r="B281" s="5">
        <v>46274</v>
      </c>
      <c r="C281" s="6" t="s">
        <v>270</v>
      </c>
      <c r="D281" s="6" t="s">
        <v>271</v>
      </c>
      <c r="E281" s="6" t="s">
        <v>17</v>
      </c>
      <c r="F281" s="6" t="s">
        <v>50</v>
      </c>
      <c r="G281" s="6" t="s">
        <v>55</v>
      </c>
      <c r="H281" s="6" t="s">
        <v>214</v>
      </c>
      <c r="I281" s="6" t="s">
        <v>69</v>
      </c>
      <c r="J281" s="7">
        <v>30040</v>
      </c>
      <c r="K281" s="6" t="s">
        <v>57</v>
      </c>
      <c r="L281" s="6" t="s">
        <v>23</v>
      </c>
      <c r="M281" s="6" t="s">
        <v>460</v>
      </c>
      <c r="N281" s="8" t="s">
        <v>35</v>
      </c>
    </row>
    <row r="282" spans="1:14">
      <c r="A282" s="4" t="s">
        <v>472</v>
      </c>
      <c r="B282" s="5">
        <v>46276</v>
      </c>
      <c r="C282" s="6" t="s">
        <v>140</v>
      </c>
      <c r="D282" s="6" t="s">
        <v>141</v>
      </c>
      <c r="E282" s="6" t="s">
        <v>29</v>
      </c>
      <c r="F282" s="6" t="s">
        <v>50</v>
      </c>
      <c r="G282" s="6" t="s">
        <v>95</v>
      </c>
      <c r="H282" s="6" t="s">
        <v>96</v>
      </c>
      <c r="I282" s="6" t="s">
        <v>97</v>
      </c>
      <c r="J282" s="7">
        <v>35760</v>
      </c>
      <c r="K282" s="6" t="s">
        <v>22</v>
      </c>
      <c r="L282" s="6" t="s">
        <v>23</v>
      </c>
      <c r="M282" s="6" t="s">
        <v>460</v>
      </c>
      <c r="N282" s="8" t="s">
        <v>51</v>
      </c>
    </row>
    <row r="283" spans="1:14">
      <c r="A283" s="4" t="s">
        <v>473</v>
      </c>
      <c r="B283" s="5">
        <v>46276</v>
      </c>
      <c r="C283" s="6" t="s">
        <v>129</v>
      </c>
      <c r="D283" s="6" t="s">
        <v>130</v>
      </c>
      <c r="E283" s="6" t="s">
        <v>29</v>
      </c>
      <c r="F283" s="6" t="s">
        <v>46</v>
      </c>
      <c r="G283" s="6" t="s">
        <v>39</v>
      </c>
      <c r="H283" s="6" t="s">
        <v>61</v>
      </c>
      <c r="I283" s="6" t="s">
        <v>33</v>
      </c>
      <c r="J283" s="7">
        <v>20210</v>
      </c>
      <c r="K283" s="6" t="s">
        <v>22</v>
      </c>
      <c r="L283" s="6" t="s">
        <v>23</v>
      </c>
      <c r="M283" s="6" t="s">
        <v>460</v>
      </c>
      <c r="N283" s="8" t="s">
        <v>51</v>
      </c>
    </row>
    <row r="284" spans="1:14">
      <c r="A284" s="4" t="s">
        <v>474</v>
      </c>
      <c r="B284" s="5">
        <v>46277</v>
      </c>
      <c r="C284" s="6" t="s">
        <v>99</v>
      </c>
      <c r="D284" s="6" t="s">
        <v>100</v>
      </c>
      <c r="E284" s="6" t="s">
        <v>29</v>
      </c>
      <c r="F284" s="6" t="s">
        <v>30</v>
      </c>
      <c r="G284" s="6" t="s">
        <v>39</v>
      </c>
      <c r="H284" s="6" t="s">
        <v>61</v>
      </c>
      <c r="I284" s="6" t="s">
        <v>21</v>
      </c>
      <c r="J284" s="7">
        <v>23320</v>
      </c>
      <c r="K284" s="6" t="s">
        <v>22</v>
      </c>
      <c r="L284" s="6" t="s">
        <v>23</v>
      </c>
      <c r="M284" s="6" t="s">
        <v>460</v>
      </c>
      <c r="N284" s="8" t="s">
        <v>90</v>
      </c>
    </row>
    <row r="285" spans="1:14">
      <c r="A285" s="4" t="s">
        <v>475</v>
      </c>
      <c r="B285" s="5">
        <v>46278</v>
      </c>
      <c r="C285" s="6" t="s">
        <v>230</v>
      </c>
      <c r="D285" s="6" t="s">
        <v>231</v>
      </c>
      <c r="E285" s="6" t="s">
        <v>66</v>
      </c>
      <c r="F285" s="6" t="s">
        <v>186</v>
      </c>
      <c r="G285" s="6" t="s">
        <v>95</v>
      </c>
      <c r="H285" s="6" t="s">
        <v>96</v>
      </c>
      <c r="I285" s="6" t="s">
        <v>97</v>
      </c>
      <c r="J285" s="7">
        <v>4060</v>
      </c>
      <c r="K285" s="6" t="s">
        <v>22</v>
      </c>
      <c r="L285" s="6" t="s">
        <v>23</v>
      </c>
      <c r="M285" s="6" t="s">
        <v>460</v>
      </c>
      <c r="N285" s="8" t="s">
        <v>25</v>
      </c>
    </row>
    <row r="286" spans="1:14">
      <c r="A286" s="4" t="s">
        <v>476</v>
      </c>
      <c r="B286" s="5">
        <v>46279</v>
      </c>
      <c r="C286" s="6" t="s">
        <v>44</v>
      </c>
      <c r="D286" s="6" t="s">
        <v>45</v>
      </c>
      <c r="E286" s="6" t="s">
        <v>17</v>
      </c>
      <c r="F286" s="6" t="s">
        <v>46</v>
      </c>
      <c r="G286" s="6" t="s">
        <v>39</v>
      </c>
      <c r="H286" s="6" t="s">
        <v>85</v>
      </c>
      <c r="I286" s="6" t="s">
        <v>21</v>
      </c>
      <c r="J286" s="7">
        <v>2350</v>
      </c>
      <c r="K286" s="6" t="s">
        <v>22</v>
      </c>
      <c r="L286" s="6" t="s">
        <v>23</v>
      </c>
      <c r="M286" s="6" t="s">
        <v>460</v>
      </c>
      <c r="N286" s="8" t="s">
        <v>70</v>
      </c>
    </row>
    <row r="287" spans="1:14">
      <c r="A287" s="4" t="s">
        <v>477</v>
      </c>
      <c r="B287" s="5">
        <v>46280</v>
      </c>
      <c r="C287" s="6" t="s">
        <v>195</v>
      </c>
      <c r="D287" s="6" t="s">
        <v>196</v>
      </c>
      <c r="E287" s="6" t="s">
        <v>17</v>
      </c>
      <c r="F287" s="6" t="s">
        <v>50</v>
      </c>
      <c r="G287" s="6" t="s">
        <v>31</v>
      </c>
      <c r="H287" s="6" t="s">
        <v>68</v>
      </c>
      <c r="I287" s="6" t="s">
        <v>21</v>
      </c>
      <c r="J287" s="7">
        <v>81870</v>
      </c>
      <c r="K287" s="6" t="s">
        <v>22</v>
      </c>
      <c r="L287" s="6" t="s">
        <v>23</v>
      </c>
      <c r="M287" s="6" t="s">
        <v>460</v>
      </c>
      <c r="N287" s="8" t="s">
        <v>104</v>
      </c>
    </row>
    <row r="288" spans="1:14">
      <c r="A288" s="4" t="s">
        <v>478</v>
      </c>
      <c r="B288" s="5">
        <v>46280</v>
      </c>
      <c r="C288" s="6" t="s">
        <v>235</v>
      </c>
      <c r="D288" s="6" t="s">
        <v>236</v>
      </c>
      <c r="E288" s="6" t="s">
        <v>29</v>
      </c>
      <c r="F288" s="6" t="s">
        <v>115</v>
      </c>
      <c r="G288" s="6" t="s">
        <v>55</v>
      </c>
      <c r="H288" s="6" t="s">
        <v>158</v>
      </c>
      <c r="I288" s="6" t="s">
        <v>33</v>
      </c>
      <c r="J288" s="7">
        <v>29820</v>
      </c>
      <c r="K288" s="6" t="s">
        <v>57</v>
      </c>
      <c r="L288" s="6" t="s">
        <v>23</v>
      </c>
      <c r="M288" s="6" t="s">
        <v>460</v>
      </c>
      <c r="N288" s="8" t="s">
        <v>104</v>
      </c>
    </row>
    <row r="289" spans="1:14">
      <c r="A289" s="4" t="s">
        <v>479</v>
      </c>
      <c r="B289" s="5">
        <v>46281</v>
      </c>
      <c r="C289" s="6" t="s">
        <v>15</v>
      </c>
      <c r="D289" s="6" t="s">
        <v>16</v>
      </c>
      <c r="E289" s="6" t="s">
        <v>17</v>
      </c>
      <c r="F289" s="6" t="s">
        <v>18</v>
      </c>
      <c r="G289" s="6" t="s">
        <v>95</v>
      </c>
      <c r="H289" s="6" t="s">
        <v>96</v>
      </c>
      <c r="I289" s="6" t="s">
        <v>97</v>
      </c>
      <c r="J289" s="7">
        <v>4150</v>
      </c>
      <c r="K289" s="6" t="s">
        <v>22</v>
      </c>
      <c r="L289" s="6" t="s">
        <v>23</v>
      </c>
      <c r="M289" s="6" t="s">
        <v>460</v>
      </c>
      <c r="N289" s="8" t="s">
        <v>35</v>
      </c>
    </row>
    <row r="290" spans="1:14">
      <c r="A290" s="4" t="s">
        <v>480</v>
      </c>
      <c r="B290" s="5">
        <v>46282</v>
      </c>
      <c r="C290" s="6" t="s">
        <v>184</v>
      </c>
      <c r="D290" s="6" t="s">
        <v>185</v>
      </c>
      <c r="E290" s="6" t="s">
        <v>29</v>
      </c>
      <c r="F290" s="6" t="s">
        <v>186</v>
      </c>
      <c r="G290" s="6" t="s">
        <v>55</v>
      </c>
      <c r="H290" s="6" t="s">
        <v>264</v>
      </c>
      <c r="I290" s="6" t="s">
        <v>5</v>
      </c>
      <c r="J290" s="7">
        <v>132490</v>
      </c>
      <c r="K290" s="6" t="s">
        <v>57</v>
      </c>
      <c r="L290" s="6" t="s">
        <v>23</v>
      </c>
      <c r="M290" s="6" t="s">
        <v>460</v>
      </c>
      <c r="N290" s="8" t="s">
        <v>42</v>
      </c>
    </row>
    <row r="291" spans="1:14">
      <c r="A291" s="4" t="s">
        <v>481</v>
      </c>
      <c r="B291" s="5">
        <v>46282</v>
      </c>
      <c r="C291" s="6" t="s">
        <v>59</v>
      </c>
      <c r="D291" s="6" t="s">
        <v>60</v>
      </c>
      <c r="E291" s="6" t="s">
        <v>17</v>
      </c>
      <c r="F291" s="6" t="s">
        <v>18</v>
      </c>
      <c r="G291" s="6" t="s">
        <v>31</v>
      </c>
      <c r="H291" s="6" t="s">
        <v>144</v>
      </c>
      <c r="I291" s="6" t="s">
        <v>69</v>
      </c>
      <c r="J291" s="7">
        <v>95470</v>
      </c>
      <c r="K291" s="6" t="s">
        <v>22</v>
      </c>
      <c r="L291" s="6" t="s">
        <v>23</v>
      </c>
      <c r="M291" s="6" t="s">
        <v>460</v>
      </c>
      <c r="N291" s="8" t="s">
        <v>42</v>
      </c>
    </row>
    <row r="292" spans="1:14">
      <c r="A292" s="4" t="s">
        <v>482</v>
      </c>
      <c r="B292" s="5">
        <v>46282</v>
      </c>
      <c r="C292" s="6" t="s">
        <v>223</v>
      </c>
      <c r="D292" s="6" t="s">
        <v>224</v>
      </c>
      <c r="E292" s="6" t="s">
        <v>17</v>
      </c>
      <c r="F292" s="6" t="s">
        <v>46</v>
      </c>
      <c r="G292" s="6" t="s">
        <v>31</v>
      </c>
      <c r="H292" s="6" t="s">
        <v>101</v>
      </c>
      <c r="I292" s="6" t="s">
        <v>69</v>
      </c>
      <c r="J292" s="7">
        <v>88480</v>
      </c>
      <c r="K292" s="6" t="s">
        <v>22</v>
      </c>
      <c r="L292" s="6" t="s">
        <v>23</v>
      </c>
      <c r="M292" s="6" t="s">
        <v>460</v>
      </c>
      <c r="N292" s="8" t="s">
        <v>42</v>
      </c>
    </row>
    <row r="293" spans="1:14">
      <c r="A293" s="4" t="s">
        <v>483</v>
      </c>
      <c r="B293" s="5">
        <v>46283</v>
      </c>
      <c r="C293" s="6" t="s">
        <v>37</v>
      </c>
      <c r="D293" s="6" t="s">
        <v>38</v>
      </c>
      <c r="E293" s="6" t="s">
        <v>29</v>
      </c>
      <c r="F293" s="6" t="s">
        <v>18</v>
      </c>
      <c r="G293" s="6" t="s">
        <v>39</v>
      </c>
      <c r="H293" s="6" t="s">
        <v>40</v>
      </c>
      <c r="I293" s="6" t="s">
        <v>41</v>
      </c>
      <c r="J293" s="7">
        <v>17930</v>
      </c>
      <c r="K293" s="6" t="s">
        <v>22</v>
      </c>
      <c r="L293" s="6" t="s">
        <v>23</v>
      </c>
      <c r="M293" s="6" t="s">
        <v>460</v>
      </c>
      <c r="N293" s="8" t="s">
        <v>51</v>
      </c>
    </row>
    <row r="294" spans="1:14">
      <c r="A294" s="4" t="s">
        <v>484</v>
      </c>
      <c r="B294" s="5">
        <v>46283</v>
      </c>
      <c r="C294" s="6" t="s">
        <v>206</v>
      </c>
      <c r="D294" s="6" t="s">
        <v>207</v>
      </c>
      <c r="E294" s="6" t="s">
        <v>66</v>
      </c>
      <c r="F294" s="6" t="s">
        <v>50</v>
      </c>
      <c r="G294" s="6" t="s">
        <v>31</v>
      </c>
      <c r="H294" s="6" t="s">
        <v>101</v>
      </c>
      <c r="I294" s="6" t="s">
        <v>69</v>
      </c>
      <c r="J294" s="7">
        <v>30680</v>
      </c>
      <c r="K294" s="6" t="s">
        <v>22</v>
      </c>
      <c r="L294" s="6" t="s">
        <v>23</v>
      </c>
      <c r="M294" s="6" t="s">
        <v>460</v>
      </c>
      <c r="N294" s="8" t="s">
        <v>51</v>
      </c>
    </row>
    <row r="295" spans="1:14">
      <c r="A295" s="4" t="s">
        <v>485</v>
      </c>
      <c r="B295" s="5">
        <v>46284</v>
      </c>
      <c r="C295" s="6" t="s">
        <v>239</v>
      </c>
      <c r="D295" s="6" t="s">
        <v>240</v>
      </c>
      <c r="E295" s="6" t="s">
        <v>29</v>
      </c>
      <c r="F295" s="6" t="s">
        <v>81</v>
      </c>
      <c r="G295" s="6" t="s">
        <v>55</v>
      </c>
      <c r="H295" s="6" t="s">
        <v>264</v>
      </c>
      <c r="I295" s="6" t="s">
        <v>21</v>
      </c>
      <c r="J295" s="7">
        <v>55910</v>
      </c>
      <c r="K295" s="6" t="s">
        <v>57</v>
      </c>
      <c r="L295" s="6" t="s">
        <v>34</v>
      </c>
      <c r="M295" s="6" t="s">
        <v>460</v>
      </c>
      <c r="N295" s="8" t="s">
        <v>90</v>
      </c>
    </row>
    <row r="296" spans="1:14">
      <c r="A296" s="4" t="s">
        <v>486</v>
      </c>
      <c r="B296" s="5">
        <v>46286</v>
      </c>
      <c r="C296" s="6" t="s">
        <v>140</v>
      </c>
      <c r="D296" s="6" t="s">
        <v>141</v>
      </c>
      <c r="E296" s="6" t="s">
        <v>29</v>
      </c>
      <c r="F296" s="6" t="s">
        <v>50</v>
      </c>
      <c r="G296" s="6" t="s">
        <v>39</v>
      </c>
      <c r="H296" s="6" t="s">
        <v>40</v>
      </c>
      <c r="I296" s="6" t="s">
        <v>33</v>
      </c>
      <c r="J296" s="7">
        <v>14310</v>
      </c>
      <c r="K296" s="6" t="s">
        <v>22</v>
      </c>
      <c r="L296" s="6" t="s">
        <v>23</v>
      </c>
      <c r="M296" s="6" t="s">
        <v>460</v>
      </c>
      <c r="N296" s="8" t="s">
        <v>70</v>
      </c>
    </row>
    <row r="297" spans="1:14">
      <c r="A297" s="4" t="s">
        <v>487</v>
      </c>
      <c r="B297" s="5">
        <v>46286</v>
      </c>
      <c r="C297" s="6" t="s">
        <v>44</v>
      </c>
      <c r="D297" s="6" t="s">
        <v>45</v>
      </c>
      <c r="E297" s="6" t="s">
        <v>17</v>
      </c>
      <c r="F297" s="6" t="s">
        <v>46</v>
      </c>
      <c r="G297" s="6" t="s">
        <v>55</v>
      </c>
      <c r="H297" s="6" t="s">
        <v>214</v>
      </c>
      <c r="I297" s="6" t="s">
        <v>5</v>
      </c>
      <c r="J297" s="7">
        <v>43780</v>
      </c>
      <c r="K297" s="6" t="s">
        <v>57</v>
      </c>
      <c r="L297" s="6" t="s">
        <v>23</v>
      </c>
      <c r="M297" s="6" t="s">
        <v>460</v>
      </c>
      <c r="N297" s="8" t="s">
        <v>70</v>
      </c>
    </row>
    <row r="298" spans="1:14">
      <c r="A298" s="4" t="s">
        <v>488</v>
      </c>
      <c r="B298" s="5">
        <v>46289</v>
      </c>
      <c r="C298" s="6" t="s">
        <v>15</v>
      </c>
      <c r="D298" s="6" t="s">
        <v>16</v>
      </c>
      <c r="E298" s="6" t="s">
        <v>17</v>
      </c>
      <c r="F298" s="6" t="s">
        <v>18</v>
      </c>
      <c r="G298" s="6" t="s">
        <v>72</v>
      </c>
      <c r="H298" s="6" t="s">
        <v>180</v>
      </c>
      <c r="I298" s="6" t="s">
        <v>33</v>
      </c>
      <c r="J298" s="7">
        <v>6770</v>
      </c>
      <c r="K298" s="6" t="s">
        <v>22</v>
      </c>
      <c r="L298" s="6" t="s">
        <v>23</v>
      </c>
      <c r="M298" s="6" t="s">
        <v>460</v>
      </c>
      <c r="N298" s="8" t="s">
        <v>42</v>
      </c>
    </row>
    <row r="299" spans="1:14">
      <c r="A299" s="4" t="s">
        <v>489</v>
      </c>
      <c r="B299" s="5">
        <v>46291</v>
      </c>
      <c r="C299" s="6" t="s">
        <v>15</v>
      </c>
      <c r="D299" s="6" t="s">
        <v>16</v>
      </c>
      <c r="E299" s="6" t="s">
        <v>17</v>
      </c>
      <c r="F299" s="6" t="s">
        <v>18</v>
      </c>
      <c r="G299" s="6" t="s">
        <v>39</v>
      </c>
      <c r="H299" s="6" t="s">
        <v>40</v>
      </c>
      <c r="I299" s="6" t="s">
        <v>41</v>
      </c>
      <c r="J299" s="7">
        <v>25560</v>
      </c>
      <c r="K299" s="6" t="s">
        <v>22</v>
      </c>
      <c r="L299" s="6" t="s">
        <v>23</v>
      </c>
      <c r="M299" s="6" t="s">
        <v>460</v>
      </c>
      <c r="N299" s="8" t="s">
        <v>90</v>
      </c>
    </row>
    <row r="300" spans="1:14">
      <c r="A300" s="4" t="s">
        <v>490</v>
      </c>
      <c r="B300" s="5">
        <v>46292</v>
      </c>
      <c r="C300" s="6" t="s">
        <v>156</v>
      </c>
      <c r="D300" s="6" t="s">
        <v>157</v>
      </c>
      <c r="E300" s="6" t="s">
        <v>17</v>
      </c>
      <c r="F300" s="6" t="s">
        <v>115</v>
      </c>
      <c r="G300" s="6" t="s">
        <v>95</v>
      </c>
      <c r="H300" s="6" t="s">
        <v>96</v>
      </c>
      <c r="I300" s="6" t="s">
        <v>97</v>
      </c>
      <c r="J300" s="7">
        <v>16110</v>
      </c>
      <c r="K300" s="6" t="s">
        <v>22</v>
      </c>
      <c r="L300" s="6" t="s">
        <v>23</v>
      </c>
      <c r="M300" s="6" t="s">
        <v>460</v>
      </c>
      <c r="N300" s="8" t="s">
        <v>25</v>
      </c>
    </row>
    <row r="301" spans="1:14">
      <c r="A301" s="9" t="s">
        <v>491</v>
      </c>
      <c r="B301" s="10">
        <v>46294</v>
      </c>
      <c r="C301" s="11" t="s">
        <v>188</v>
      </c>
      <c r="D301" s="11" t="s">
        <v>189</v>
      </c>
      <c r="E301" s="11" t="s">
        <v>17</v>
      </c>
      <c r="F301" s="11" t="s">
        <v>50</v>
      </c>
      <c r="G301" s="11" t="s">
        <v>72</v>
      </c>
      <c r="H301" s="11" t="s">
        <v>282</v>
      </c>
      <c r="I301" s="11" t="s">
        <v>21</v>
      </c>
      <c r="J301" s="12">
        <v>2800</v>
      </c>
      <c r="K301" s="11" t="s">
        <v>22</v>
      </c>
      <c r="L301" s="11" t="s">
        <v>23</v>
      </c>
      <c r="M301" s="11" t="s">
        <v>460</v>
      </c>
      <c r="N301" s="13" t="s">
        <v>104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C3A8B-18D4-4231-B66F-5FFBB9E1D0A2}">
  <dimension ref="A1:K28"/>
  <sheetViews>
    <sheetView workbookViewId="0">
      <selection activeCell="D14" sqref="D14"/>
    </sheetView>
  </sheetViews>
  <sheetFormatPr defaultRowHeight="14.4"/>
  <cols>
    <col min="1" max="1" width="15.88671875" customWidth="1"/>
    <col min="2" max="2" width="20.109375" bestFit="1" customWidth="1"/>
    <col min="4" max="4" width="12.44140625" bestFit="1" customWidth="1"/>
    <col min="5" max="6" width="18.33203125" bestFit="1" customWidth="1"/>
    <col min="7" max="7" width="19.44140625" customWidth="1"/>
    <col min="8" max="8" width="20.109375" bestFit="1" customWidth="1"/>
    <col min="9" max="10" width="18.33203125" bestFit="1" customWidth="1"/>
    <col min="11" max="11" width="23.109375" bestFit="1" customWidth="1"/>
    <col min="12" max="12" width="18.33203125" bestFit="1" customWidth="1"/>
  </cols>
  <sheetData>
    <row r="1" spans="1:11" ht="18">
      <c r="A1" s="14" t="s">
        <v>492</v>
      </c>
      <c r="F1" s="14" t="s">
        <v>497</v>
      </c>
      <c r="J1" s="14" t="s">
        <v>498</v>
      </c>
    </row>
    <row r="3" spans="1:11">
      <c r="A3" s="15" t="s">
        <v>493</v>
      </c>
      <c r="B3" s="16" t="s">
        <v>495</v>
      </c>
      <c r="F3" s="15" t="s">
        <v>493</v>
      </c>
      <c r="G3" s="16" t="s">
        <v>496</v>
      </c>
      <c r="J3" s="15" t="s">
        <v>493</v>
      </c>
      <c r="K3" s="16" t="s">
        <v>496</v>
      </c>
    </row>
    <row r="4" spans="1:11">
      <c r="A4" s="17" t="s">
        <v>34</v>
      </c>
      <c r="B4" s="18">
        <v>20</v>
      </c>
      <c r="F4" s="17" t="s">
        <v>24</v>
      </c>
      <c r="G4" s="19">
        <v>1171610</v>
      </c>
      <c r="J4" s="17" t="s">
        <v>30</v>
      </c>
      <c r="K4" s="19">
        <v>752820</v>
      </c>
    </row>
    <row r="5" spans="1:11">
      <c r="A5" s="17" t="s">
        <v>62</v>
      </c>
      <c r="B5" s="18">
        <v>11</v>
      </c>
      <c r="F5" s="17" t="s">
        <v>151</v>
      </c>
      <c r="G5" s="19">
        <v>1395000</v>
      </c>
      <c r="J5" s="17" t="s">
        <v>81</v>
      </c>
      <c r="K5" s="19">
        <v>2030150</v>
      </c>
    </row>
    <row r="6" spans="1:11">
      <c r="A6" s="17" t="s">
        <v>23</v>
      </c>
      <c r="B6" s="18">
        <v>269</v>
      </c>
      <c r="F6" s="17" t="s">
        <v>232</v>
      </c>
      <c r="G6" s="19">
        <v>1369650</v>
      </c>
      <c r="J6" s="17" t="s">
        <v>46</v>
      </c>
      <c r="K6" s="19">
        <v>2146010</v>
      </c>
    </row>
    <row r="7" spans="1:11">
      <c r="A7" s="17" t="s">
        <v>494</v>
      </c>
      <c r="B7" s="18">
        <v>300</v>
      </c>
      <c r="F7" s="17" t="s">
        <v>283</v>
      </c>
      <c r="G7" s="19">
        <v>918160</v>
      </c>
      <c r="J7" s="17" t="s">
        <v>67</v>
      </c>
      <c r="K7" s="19">
        <v>703100</v>
      </c>
    </row>
    <row r="8" spans="1:11">
      <c r="F8" s="17" t="s">
        <v>316</v>
      </c>
      <c r="G8" s="19">
        <v>823070</v>
      </c>
      <c r="J8" s="17" t="s">
        <v>50</v>
      </c>
      <c r="K8" s="19">
        <v>1608490</v>
      </c>
    </row>
    <row r="9" spans="1:11">
      <c r="F9" s="17" t="s">
        <v>344</v>
      </c>
      <c r="G9" s="19">
        <v>1313470</v>
      </c>
      <c r="J9" s="17" t="s">
        <v>186</v>
      </c>
      <c r="K9" s="19">
        <v>334830</v>
      </c>
    </row>
    <row r="10" spans="1:11">
      <c r="F10" s="17" t="s">
        <v>393</v>
      </c>
      <c r="G10" s="19">
        <v>1083580</v>
      </c>
      <c r="J10" s="17" t="s">
        <v>115</v>
      </c>
      <c r="K10" s="19">
        <v>1597400</v>
      </c>
    </row>
    <row r="11" spans="1:11">
      <c r="F11" s="17" t="s">
        <v>422</v>
      </c>
      <c r="G11" s="19">
        <v>1590280</v>
      </c>
      <c r="J11" s="17" t="s">
        <v>18</v>
      </c>
      <c r="K11" s="19">
        <v>1538380</v>
      </c>
    </row>
    <row r="12" spans="1:11">
      <c r="F12" s="17" t="s">
        <v>460</v>
      </c>
      <c r="G12" s="19">
        <v>1046360</v>
      </c>
      <c r="J12" s="17" t="s">
        <v>494</v>
      </c>
      <c r="K12" s="19">
        <v>10711180</v>
      </c>
    </row>
    <row r="13" spans="1:11">
      <c r="F13" s="17" t="s">
        <v>494</v>
      </c>
      <c r="G13" s="19">
        <v>10711180</v>
      </c>
    </row>
    <row r="19" spans="1:10" ht="18">
      <c r="A19" s="14" t="s">
        <v>499</v>
      </c>
      <c r="E19" s="14" t="s">
        <v>6</v>
      </c>
      <c r="I19" s="14" t="s">
        <v>500</v>
      </c>
    </row>
    <row r="21" spans="1:10">
      <c r="A21" s="15" t="s">
        <v>493</v>
      </c>
      <c r="B21" s="16" t="s">
        <v>495</v>
      </c>
      <c r="E21" s="15" t="s">
        <v>493</v>
      </c>
      <c r="F21" s="16" t="s">
        <v>496</v>
      </c>
      <c r="I21" s="16" t="s">
        <v>495</v>
      </c>
      <c r="J21" s="16" t="s">
        <v>496</v>
      </c>
    </row>
    <row r="22" spans="1:10">
      <c r="A22" s="17" t="s">
        <v>97</v>
      </c>
      <c r="B22" s="18">
        <v>34</v>
      </c>
      <c r="E22" s="17" t="s">
        <v>72</v>
      </c>
      <c r="F22" s="19">
        <v>255160</v>
      </c>
      <c r="I22" s="18">
        <v>300</v>
      </c>
      <c r="J22" s="19">
        <v>10711180</v>
      </c>
    </row>
    <row r="23" spans="1:10">
      <c r="A23" s="17" t="s">
        <v>5</v>
      </c>
      <c r="B23" s="18">
        <v>38</v>
      </c>
      <c r="E23" s="17" t="s">
        <v>39</v>
      </c>
      <c r="F23" s="19">
        <v>1036070</v>
      </c>
    </row>
    <row r="24" spans="1:10">
      <c r="A24" s="17" t="s">
        <v>33</v>
      </c>
      <c r="B24" s="18">
        <v>78</v>
      </c>
      <c r="E24" s="17" t="s">
        <v>55</v>
      </c>
      <c r="F24" s="19">
        <v>3895810</v>
      </c>
    </row>
    <row r="25" spans="1:10">
      <c r="A25" s="17" t="s">
        <v>21</v>
      </c>
      <c r="B25" s="18">
        <v>79</v>
      </c>
      <c r="E25" s="17" t="s">
        <v>19</v>
      </c>
      <c r="F25" s="19">
        <v>635500</v>
      </c>
    </row>
    <row r="26" spans="1:10">
      <c r="A26" s="17" t="s">
        <v>41</v>
      </c>
      <c r="B26" s="18">
        <v>24</v>
      </c>
      <c r="E26" s="17" t="s">
        <v>31</v>
      </c>
      <c r="F26" s="19">
        <v>3754820</v>
      </c>
    </row>
    <row r="27" spans="1:10">
      <c r="A27" s="17" t="s">
        <v>69</v>
      </c>
      <c r="B27" s="18">
        <v>47</v>
      </c>
      <c r="E27" s="17" t="s">
        <v>95</v>
      </c>
      <c r="F27" s="19">
        <v>1133820</v>
      </c>
    </row>
    <row r="28" spans="1:10">
      <c r="A28" s="17" t="s">
        <v>494</v>
      </c>
      <c r="B28" s="18">
        <v>300</v>
      </c>
      <c r="E28" s="17" t="s">
        <v>494</v>
      </c>
      <c r="F28" s="19">
        <v>10711180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Raw_Data</vt:lpstr>
      <vt:lpstr>Pivot table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Tarun11122025@outlook.com</dc:creator>
  <cp:lastModifiedBy>Tarun11122025@outlook.com</cp:lastModifiedBy>
  <dcterms:created xsi:type="dcterms:W3CDTF">2026-10-21T08:54:26Z</dcterms:created>
  <dcterms:modified xsi:type="dcterms:W3CDTF">2026-10-21T10:52:26Z</dcterms:modified>
</cp:coreProperties>
</file>